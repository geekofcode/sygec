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OURFICHIERDEBASECONGE (2)" sheetId="1" r:id="rId4"/>
  </sheets>
</workbook>
</file>

<file path=xl/sharedStrings.xml><?xml version="1.0" encoding="utf-8"?>
<sst xmlns="http://schemas.openxmlformats.org/spreadsheetml/2006/main" uniqueCount="682">
  <si>
    <t>Matricule</t>
  </si>
  <si>
    <t>Civilité</t>
  </si>
  <si>
    <t>Nom</t>
  </si>
  <si>
    <t>Prénom</t>
  </si>
  <si>
    <t>Date de naissance</t>
  </si>
  <si>
    <t>Date d'embauche société</t>
  </si>
  <si>
    <t>Situation familiale</t>
  </si>
  <si>
    <t>Lieu de recrutement</t>
  </si>
  <si>
    <t>Fonction</t>
  </si>
  <si>
    <t>Direction</t>
  </si>
  <si>
    <t>Lieu d'Affectation</t>
  </si>
  <si>
    <t>CAT</t>
  </si>
  <si>
    <t>Nature du contrat</t>
  </si>
  <si>
    <t>Début Période de Service</t>
  </si>
  <si>
    <t>Fin Période de Service</t>
  </si>
  <si>
    <t>Début Jouissance de Congé</t>
  </si>
  <si>
    <t>Fin Jouissance de Congé</t>
  </si>
  <si>
    <t>Permissions à Déduire</t>
  </si>
  <si>
    <t>Jours Restants</t>
  </si>
  <si>
    <t>Date de Reprise</t>
  </si>
  <si>
    <t>Prochaine Période de Service</t>
  </si>
  <si>
    <t>Exibilité Prochain Congé</t>
  </si>
  <si>
    <t>Frais de Relève</t>
  </si>
  <si>
    <t>Ampliations 1</t>
  </si>
  <si>
    <t>Ampliations 2</t>
  </si>
  <si>
    <t>Ampliations 3</t>
  </si>
  <si>
    <t>02914</t>
  </si>
  <si>
    <t>Monsieur</t>
  </si>
  <si>
    <t>FEUKOUO OUAFO</t>
  </si>
  <si>
    <t>Pius</t>
  </si>
  <si>
    <t>Célibataire</t>
  </si>
  <si>
    <t>Douala</t>
  </si>
  <si>
    <t>Agent de Chargement</t>
  </si>
  <si>
    <t>DIRECTION DX.DLA</t>
  </si>
  <si>
    <t>en service à la Direction de l'Aéroport International de DOUALA</t>
  </si>
  <si>
    <t>4A</t>
  </si>
  <si>
    <t>C.D.I</t>
  </si>
  <si>
    <t>/</t>
  </si>
  <si>
    <t>Intéressée</t>
  </si>
  <si>
    <t>intéressée</t>
  </si>
  <si>
    <t>/DX.RH</t>
  </si>
  <si>
    <t>02915</t>
  </si>
  <si>
    <t>ZAME MEZENE</t>
  </si>
  <si>
    <t>Ulric Patient</t>
  </si>
  <si>
    <t>Intéressé</t>
  </si>
  <si>
    <t>intéressé</t>
  </si>
  <si>
    <t>02916</t>
  </si>
  <si>
    <t>BAYIHA</t>
  </si>
  <si>
    <t>Silas</t>
  </si>
  <si>
    <t>02917</t>
  </si>
  <si>
    <t>Claude NDJEYI NTEME Valery</t>
  </si>
  <si>
    <t>02918</t>
  </si>
  <si>
    <t>ATANGA Dilan FRU</t>
  </si>
  <si>
    <t>02919</t>
  </si>
  <si>
    <t>OTTOU</t>
  </si>
  <si>
    <t>Jean Jacques</t>
  </si>
  <si>
    <t>Garoua</t>
  </si>
  <si>
    <t>Aide Tech de Maint. Electricit</t>
  </si>
  <si>
    <t>DIRECTION EXPLOITATION</t>
  </si>
  <si>
    <t>en service à la Direction de l'Aéroport de GAROUA</t>
  </si>
  <si>
    <t>5A</t>
  </si>
  <si>
    <t>/DX.GOU</t>
  </si>
  <si>
    <t>02920</t>
  </si>
  <si>
    <t>Mademoiselle</t>
  </si>
  <si>
    <t>EMBOLO MINTONG</t>
  </si>
  <si>
    <t>Salomé Blandine</t>
  </si>
  <si>
    <t>02921</t>
  </si>
  <si>
    <t>BILOA KOUMDA</t>
  </si>
  <si>
    <t>Marina</t>
  </si>
  <si>
    <t>Agent Passage</t>
  </si>
  <si>
    <t>8A</t>
  </si>
  <si>
    <t>02922</t>
  </si>
  <si>
    <t>MENGUELLE</t>
  </si>
  <si>
    <t>Frédéric Gislain Loë</t>
  </si>
  <si>
    <t>Nsimalen</t>
  </si>
  <si>
    <t>Agent Régulateur</t>
  </si>
  <si>
    <t>DIRECTION DX.NSI</t>
  </si>
  <si>
    <t>en service à la Direction de l'Aéroport International de YAOUNDE NSIMALEN</t>
  </si>
  <si>
    <t>/DX.NSI</t>
  </si>
  <si>
    <t>02923</t>
  </si>
  <si>
    <t>AFANA OWONO</t>
  </si>
  <si>
    <t>Nicole</t>
  </si>
  <si>
    <t>Agent Entretien Cabine Avions</t>
  </si>
  <si>
    <t>C.D.D</t>
  </si>
  <si>
    <t>02924</t>
  </si>
  <si>
    <t>AMOUGOU</t>
  </si>
  <si>
    <t>Régine Carine Michèl</t>
  </si>
  <si>
    <t>02925</t>
  </si>
  <si>
    <t>NOAH MESSI</t>
  </si>
  <si>
    <t>Côme Franck</t>
  </si>
  <si>
    <t>02926</t>
  </si>
  <si>
    <t>FOCHIVE NGOULOURE</t>
  </si>
  <si>
    <t>Adam</t>
  </si>
  <si>
    <t>Marié(e)</t>
  </si>
  <si>
    <t>Agent Sûreté/Sécurité Incendie</t>
  </si>
  <si>
    <t>02927</t>
  </si>
  <si>
    <t>AYOLO BITANG</t>
  </si>
  <si>
    <t>Armel</t>
  </si>
  <si>
    <t>Manutentionnaire</t>
  </si>
  <si>
    <t>4B</t>
  </si>
  <si>
    <t>02928</t>
  </si>
  <si>
    <t>MVOUA TIGUI</t>
  </si>
  <si>
    <t>Modeste Arnaud</t>
  </si>
  <si>
    <t>02929</t>
  </si>
  <si>
    <t>WOUMOH NGONG</t>
  </si>
  <si>
    <t>Modeste Vital</t>
  </si>
  <si>
    <t>02930</t>
  </si>
  <si>
    <t>PEPUERE MFONKOUA</t>
  </si>
  <si>
    <t>Hervé</t>
  </si>
  <si>
    <t>02931</t>
  </si>
  <si>
    <t>SONSA</t>
  </si>
  <si>
    <t>Stéphane</t>
  </si>
  <si>
    <t>02932</t>
  </si>
  <si>
    <t>AMBATATIA</t>
  </si>
  <si>
    <t>Alphonse II</t>
  </si>
  <si>
    <t>Chauffeur</t>
  </si>
  <si>
    <t>DIRECTION AFFAIRES GENERALES</t>
  </si>
  <si>
    <t>en service à la Direction des Affaires Générales</t>
  </si>
  <si>
    <t>02935</t>
  </si>
  <si>
    <t>MBAZOA ETOUNDI</t>
  </si>
  <si>
    <t>Gabriel</t>
  </si>
  <si>
    <t>02936</t>
  </si>
  <si>
    <t>NYANGONO OBAME</t>
  </si>
  <si>
    <t>Junior</t>
  </si>
  <si>
    <t>02937</t>
  </si>
  <si>
    <t>POWO</t>
  </si>
  <si>
    <t>Franklin</t>
  </si>
  <si>
    <t>Chauffeur de Relève</t>
  </si>
  <si>
    <t>5B</t>
  </si>
  <si>
    <t>02939</t>
  </si>
  <si>
    <t>AMOUGOU OWONO</t>
  </si>
  <si>
    <t>Pierre Claver</t>
  </si>
  <si>
    <t>02940</t>
  </si>
  <si>
    <t>BOMBA</t>
  </si>
  <si>
    <t>Théodore Thierry</t>
  </si>
  <si>
    <t>Comptable Mutuelle</t>
  </si>
  <si>
    <t>DIRECTION RESSOURCES HUMAINES</t>
  </si>
  <si>
    <t>en service à la Direction des Ressources Humaines - Mutuelle des Personnels</t>
  </si>
  <si>
    <t>02941</t>
  </si>
  <si>
    <t>ABAKOH</t>
  </si>
  <si>
    <t>Bruno</t>
  </si>
  <si>
    <t>02942</t>
  </si>
  <si>
    <t>DJONGA SAKI</t>
  </si>
  <si>
    <t>02943</t>
  </si>
  <si>
    <t>ESSOH ESSONGO</t>
  </si>
  <si>
    <t>Boaz Duclos</t>
  </si>
  <si>
    <t>02944</t>
  </si>
  <si>
    <t>ACHENDUH Winston ANGUNWU</t>
  </si>
  <si>
    <t>02945</t>
  </si>
  <si>
    <t>NSOM MEDJO</t>
  </si>
  <si>
    <t>Fabien Legrand</t>
  </si>
  <si>
    <t>02946</t>
  </si>
  <si>
    <t>BEFE</t>
  </si>
  <si>
    <t>Françoise Noëlle</t>
  </si>
  <si>
    <t>02947</t>
  </si>
  <si>
    <t>NYE Justine DAGHA</t>
  </si>
  <si>
    <t>02948</t>
  </si>
  <si>
    <t>NDZANA</t>
  </si>
  <si>
    <t>Maxime Brice</t>
  </si>
  <si>
    <t>02949</t>
  </si>
  <si>
    <t>FRU JEVAS NDE</t>
  </si>
  <si>
    <t>02950</t>
  </si>
  <si>
    <t>EYEBE NDZANA</t>
  </si>
  <si>
    <t>Benoît</t>
  </si>
  <si>
    <t>02951</t>
  </si>
  <si>
    <t>NDANG A GOUFAN</t>
  </si>
  <si>
    <t>Pierre Taguy</t>
  </si>
  <si>
    <t>02952</t>
  </si>
  <si>
    <t>MOHAMAD USIDINE</t>
  </si>
  <si>
    <t>02953</t>
  </si>
  <si>
    <t>VOKENG VOKENG</t>
  </si>
  <si>
    <t>Roni Stève</t>
  </si>
  <si>
    <t>Ngaoundéré</t>
  </si>
  <si>
    <t>en service à la Direction de l'Aéroport de NGAOUNDERE</t>
  </si>
  <si>
    <t>/DX.NGE</t>
  </si>
  <si>
    <t>02954</t>
  </si>
  <si>
    <t>EMBOLO</t>
  </si>
  <si>
    <t>Adolphe Itler</t>
  </si>
  <si>
    <t>02955</t>
  </si>
  <si>
    <t>AHMADOU ADAMU IBRAHIM</t>
  </si>
  <si>
    <t>Bamenda</t>
  </si>
  <si>
    <t>en service à la Direction de l'Aéroport de BAMENDA</t>
  </si>
  <si>
    <t>/DX.BPC</t>
  </si>
  <si>
    <t>02956</t>
  </si>
  <si>
    <t>RUKAIYATOU IBRAHIM BAGOBIRI</t>
  </si>
  <si>
    <t>02957</t>
  </si>
  <si>
    <t>CHE Hilary CHE</t>
  </si>
  <si>
    <t>02958</t>
  </si>
  <si>
    <t>ASSEMBE NDI</t>
  </si>
  <si>
    <t>Henri Dimitry</t>
  </si>
  <si>
    <t>02959</t>
  </si>
  <si>
    <t>ANYANGWE ATIENGI</t>
  </si>
  <si>
    <t>Yann</t>
  </si>
  <si>
    <t>02960</t>
  </si>
  <si>
    <t>BANGA ADZI</t>
  </si>
  <si>
    <t>Anicet</t>
  </si>
  <si>
    <t>Technicien Supérieur Génie Civ</t>
  </si>
  <si>
    <t>DIRECTION DE LA MAINTENANCE</t>
  </si>
  <si>
    <t>en service à la Direction de la Maintenance</t>
  </si>
  <si>
    <t>9A</t>
  </si>
  <si>
    <t>02961</t>
  </si>
  <si>
    <t>NGANDJONG</t>
  </si>
  <si>
    <t>Samuel</t>
  </si>
  <si>
    <t>Agent P.C.A.</t>
  </si>
  <si>
    <t>02962</t>
  </si>
  <si>
    <t>Linus GWODOG LIKOBA</t>
  </si>
  <si>
    <t>Tech. Maint. Chaudron. Soudeur</t>
  </si>
  <si>
    <t>02963</t>
  </si>
  <si>
    <t>NAMA ETOA</t>
  </si>
  <si>
    <t>Stéphane Tobie</t>
  </si>
  <si>
    <t>02964</t>
  </si>
  <si>
    <t>NYANGONO MONAFAME</t>
  </si>
  <si>
    <t>Ruth Raïssa</t>
  </si>
  <si>
    <t>Hôtesse Relations Publiques</t>
  </si>
  <si>
    <t>02965</t>
  </si>
  <si>
    <t>ATANGANA NDI</t>
  </si>
  <si>
    <t>Jean Magloire</t>
  </si>
  <si>
    <t>Technicien de Maint. Electrote</t>
  </si>
  <si>
    <t>02966</t>
  </si>
  <si>
    <t>NYEBE LEMANA</t>
  </si>
  <si>
    <t>Firmin Alain</t>
  </si>
  <si>
    <t>Maroua</t>
  </si>
  <si>
    <t>en service à la Direction de l'Aéroport de MAROUA</t>
  </si>
  <si>
    <t>/DX.MVR</t>
  </si>
  <si>
    <t>02967</t>
  </si>
  <si>
    <t>AKOUA TCHOUKEU</t>
  </si>
  <si>
    <t>Christian Willy</t>
  </si>
  <si>
    <t>02968</t>
  </si>
  <si>
    <t>NGAH A AMARA</t>
  </si>
  <si>
    <t>Elias II</t>
  </si>
  <si>
    <t>Tech. Maint. Electricien Auto</t>
  </si>
  <si>
    <t>02969</t>
  </si>
  <si>
    <t>MBALLA</t>
  </si>
  <si>
    <t>Sabine Vanessa</t>
  </si>
  <si>
    <t>02970</t>
  </si>
  <si>
    <t>TAKLAI</t>
  </si>
  <si>
    <t>Benjamin</t>
  </si>
  <si>
    <t>02971</t>
  </si>
  <si>
    <t>OLOMO NKOLO</t>
  </si>
  <si>
    <t>Fabien Stève</t>
  </si>
  <si>
    <t>02972</t>
  </si>
  <si>
    <t>PEEMBY PEEMBY</t>
  </si>
  <si>
    <t>Craig Loïc Neil</t>
  </si>
  <si>
    <t>02974</t>
  </si>
  <si>
    <t>BEFOLLO NDONGO</t>
  </si>
  <si>
    <t>Marie Solange</t>
  </si>
  <si>
    <t>Agent Administratif</t>
  </si>
  <si>
    <t>DIRECTION GENERALE</t>
  </si>
  <si>
    <t>en service à la Direction Générale - Service Courrier et Liaisons</t>
  </si>
  <si>
    <t>02975</t>
  </si>
  <si>
    <t>Madame</t>
  </si>
  <si>
    <t>MPOME EYANGO</t>
  </si>
  <si>
    <t>Christelle Natacha</t>
  </si>
  <si>
    <t>Agent Fret</t>
  </si>
  <si>
    <t>02976</t>
  </si>
  <si>
    <t>NGAYEN NGOUPAYOU</t>
  </si>
  <si>
    <t>Samira</t>
  </si>
  <si>
    <t>Assistant Environnement</t>
  </si>
  <si>
    <t>DIRECTION QUAL. SEC. ENV.</t>
  </si>
  <si>
    <t>02977</t>
  </si>
  <si>
    <t>OKONABENG</t>
  </si>
  <si>
    <t>Unis Jorelle Annisa</t>
  </si>
  <si>
    <t>02978</t>
  </si>
  <si>
    <t>Isabelle TURMAINE</t>
  </si>
  <si>
    <t>02979</t>
  </si>
  <si>
    <t>MAMBOU TIAM</t>
  </si>
  <si>
    <t>Yannick</t>
  </si>
  <si>
    <t>Agent Exploitation Aérodrome</t>
  </si>
  <si>
    <t>02980</t>
  </si>
  <si>
    <t>AMOUGOU ESSAMA</t>
  </si>
  <si>
    <t>Jules Williams</t>
  </si>
  <si>
    <t>02981</t>
  </si>
  <si>
    <t>NJOYA NJUENKOU</t>
  </si>
  <si>
    <t>Jephté Bertrand</t>
  </si>
  <si>
    <t>Chef Sect Bât. et Aménagements</t>
  </si>
  <si>
    <t>02982</t>
  </si>
  <si>
    <t>FEZEU NZALLI</t>
  </si>
  <si>
    <t>Hermann</t>
  </si>
  <si>
    <t>02983</t>
  </si>
  <si>
    <t>NGAMOUGOU AYINDA</t>
  </si>
  <si>
    <t>Christian</t>
  </si>
  <si>
    <t>02984</t>
  </si>
  <si>
    <t>NDJEUNGA NOUMEN</t>
  </si>
  <si>
    <t>Loïc Fabien</t>
  </si>
  <si>
    <t>02985</t>
  </si>
  <si>
    <t>SOBZE MBIAGOUP</t>
  </si>
  <si>
    <t>Brayar Anderson</t>
  </si>
  <si>
    <t>Assistant Contrôleur Gestion</t>
  </si>
  <si>
    <t>DIVISION CONTROLE DE GESTION</t>
  </si>
  <si>
    <t>02986</t>
  </si>
  <si>
    <t>NTOUROU</t>
  </si>
  <si>
    <t>Joseph Désiré</t>
  </si>
  <si>
    <t>Agent Sûreté</t>
  </si>
  <si>
    <t>02987</t>
  </si>
  <si>
    <t>FOUAKWETT TALLA</t>
  </si>
  <si>
    <t>J.P. Junior</t>
  </si>
  <si>
    <t>02988</t>
  </si>
  <si>
    <t>ELOUNDOU TSALA</t>
  </si>
  <si>
    <t>Dany Alice</t>
  </si>
  <si>
    <t>02989</t>
  </si>
  <si>
    <t>MBOE NGONO</t>
  </si>
  <si>
    <t>Marie Chantal</t>
  </si>
  <si>
    <t>02990</t>
  </si>
  <si>
    <t>OMOHOGA NIMAGALINA</t>
  </si>
  <si>
    <t>Paule Erica</t>
  </si>
  <si>
    <t>02991</t>
  </si>
  <si>
    <t>ABONDO</t>
  </si>
  <si>
    <t>Dorothée Rosine</t>
  </si>
  <si>
    <t>02992</t>
  </si>
  <si>
    <t>OBAMA MENGO</t>
  </si>
  <si>
    <t>Mathieu</t>
  </si>
  <si>
    <t>02993</t>
  </si>
  <si>
    <t>MANGA</t>
  </si>
  <si>
    <t>Emilie Caroline</t>
  </si>
  <si>
    <t>02994</t>
  </si>
  <si>
    <t>NTAMACK II</t>
  </si>
  <si>
    <t>Narcisse</t>
  </si>
  <si>
    <t>02995</t>
  </si>
  <si>
    <t>BILLE</t>
  </si>
  <si>
    <t>Oscar Gaël</t>
  </si>
  <si>
    <t>02996</t>
  </si>
  <si>
    <t>LEBOGO MBIDA</t>
  </si>
  <si>
    <t>Mathieu Victoire</t>
  </si>
  <si>
    <t>02997</t>
  </si>
  <si>
    <t>EKANI EKANI</t>
  </si>
  <si>
    <t>Louis Eric</t>
  </si>
  <si>
    <t>02998</t>
  </si>
  <si>
    <t>AMOUGOU ANYOUZO'A</t>
  </si>
  <si>
    <t>René Kevin</t>
  </si>
  <si>
    <t>02999</t>
  </si>
  <si>
    <t>SANY MBIH DIM</t>
  </si>
  <si>
    <t>Emmanuel Aurélien</t>
  </si>
  <si>
    <t>03000</t>
  </si>
  <si>
    <t>ONANA EDOUGUE</t>
  </si>
  <si>
    <t>Emmanuel</t>
  </si>
  <si>
    <t>03001</t>
  </si>
  <si>
    <t>ZANGA EYEBE</t>
  </si>
  <si>
    <t>Aloys Roland</t>
  </si>
  <si>
    <t>03002</t>
  </si>
  <si>
    <t>MOHAMAN AWAL</t>
  </si>
  <si>
    <t>03003</t>
  </si>
  <si>
    <t>BINDELE</t>
  </si>
  <si>
    <t>Maximilien Junior</t>
  </si>
  <si>
    <t>03005</t>
  </si>
  <si>
    <t>MOHAMAN KORAMOU ABDOULAYE</t>
  </si>
  <si>
    <t>03006</t>
  </si>
  <si>
    <t>MOUELLE EKWA</t>
  </si>
  <si>
    <t>Marcel</t>
  </si>
  <si>
    <t>03007</t>
  </si>
  <si>
    <t>ASSIENE ASSIENE</t>
  </si>
  <si>
    <t>Philippe II</t>
  </si>
  <si>
    <t>03008</t>
  </si>
  <si>
    <t>NYAMBE NYAME</t>
  </si>
  <si>
    <t>Alexandre</t>
  </si>
  <si>
    <t>03009</t>
  </si>
  <si>
    <t>NKOA</t>
  </si>
  <si>
    <t>Emile Jonathan</t>
  </si>
  <si>
    <t>03010</t>
  </si>
  <si>
    <t>KOTO</t>
  </si>
  <si>
    <t>Serge Hervé</t>
  </si>
  <si>
    <t>03011</t>
  </si>
  <si>
    <t>BELLE EBOKOLO</t>
  </si>
  <si>
    <t>Yves Bertrand</t>
  </si>
  <si>
    <t>03012</t>
  </si>
  <si>
    <t>EBOLLO EDIMO</t>
  </si>
  <si>
    <t>Ernest Yanick-Noé</t>
  </si>
  <si>
    <t>03013</t>
  </si>
  <si>
    <t>WANGMENE</t>
  </si>
  <si>
    <t>Jean</t>
  </si>
  <si>
    <t>03014</t>
  </si>
  <si>
    <t>Eric Gilbert PEGNYEMB</t>
  </si>
  <si>
    <t>03015</t>
  </si>
  <si>
    <t>NKENGBEZA Paul ACHEALEKE</t>
  </si>
  <si>
    <t>03016</t>
  </si>
  <si>
    <t>NKEMTAJI Simplice FORLEMU</t>
  </si>
  <si>
    <t>03017</t>
  </si>
  <si>
    <t>KENGNE NWAFO</t>
  </si>
  <si>
    <t>Cédric Voltaire</t>
  </si>
  <si>
    <t>03018</t>
  </si>
  <si>
    <t>OWONO MBARGA</t>
  </si>
  <si>
    <t>Alfred</t>
  </si>
  <si>
    <t>03019</t>
  </si>
  <si>
    <t>BONKA BONKA</t>
  </si>
  <si>
    <t>Aloys</t>
  </si>
  <si>
    <t>03020</t>
  </si>
  <si>
    <t>NDONG OWONA</t>
  </si>
  <si>
    <t>Gérard Georges Théod</t>
  </si>
  <si>
    <t>03021</t>
  </si>
  <si>
    <t>ESSOMBA OKAH</t>
  </si>
  <si>
    <t>Estele</t>
  </si>
  <si>
    <t>03022</t>
  </si>
  <si>
    <t>TAZO</t>
  </si>
  <si>
    <t>Jorès</t>
  </si>
  <si>
    <t>Magasinier</t>
  </si>
  <si>
    <t>03023</t>
  </si>
  <si>
    <t>NOAH ENAMA</t>
  </si>
  <si>
    <t>Agreus Joël</t>
  </si>
  <si>
    <t>03024</t>
  </si>
  <si>
    <t>NYAMA ZIBI</t>
  </si>
  <si>
    <t>Jean Bosco</t>
  </si>
  <si>
    <t>03025</t>
  </si>
  <si>
    <t>NJOH MOUDIO</t>
  </si>
  <si>
    <t>03026</t>
  </si>
  <si>
    <t>FADIMATOU OUMAROU AMAN</t>
  </si>
  <si>
    <t>03027</t>
  </si>
  <si>
    <t>NKOUDOU ALEGUE</t>
  </si>
  <si>
    <t>Noelle Venissia</t>
  </si>
  <si>
    <t>03028</t>
  </si>
  <si>
    <t>ABDOUL RAHIM</t>
  </si>
  <si>
    <t>Agent Commercial</t>
  </si>
  <si>
    <t>03029</t>
  </si>
  <si>
    <t>Grâce Guilaine NDIA MBOUMBANG</t>
  </si>
  <si>
    <t>03030</t>
  </si>
  <si>
    <t>DJOPMEGNI</t>
  </si>
  <si>
    <t>Simplice</t>
  </si>
  <si>
    <t>03031</t>
  </si>
  <si>
    <t>POUENGUI NOUPEDJE</t>
  </si>
  <si>
    <t>Ramses</t>
  </si>
  <si>
    <t>03032</t>
  </si>
  <si>
    <t>OUSMANOU AHMADOU</t>
  </si>
  <si>
    <t>Abdel Aron</t>
  </si>
  <si>
    <t>03033</t>
  </si>
  <si>
    <t>MINLO</t>
  </si>
  <si>
    <t>Félix Yannick</t>
  </si>
  <si>
    <t>03034</t>
  </si>
  <si>
    <t>NJOH EBONGOM</t>
  </si>
  <si>
    <t>03035</t>
  </si>
  <si>
    <t>MEKONGO</t>
  </si>
  <si>
    <t>Emilienne Alexis</t>
  </si>
  <si>
    <t>03036</t>
  </si>
  <si>
    <t>BILOA MVOGO</t>
  </si>
  <si>
    <t>Ghislain Patrick</t>
  </si>
  <si>
    <t>03037</t>
  </si>
  <si>
    <t>DAMSEK BIWOLE</t>
  </si>
  <si>
    <t>Kévine</t>
  </si>
  <si>
    <t>03038</t>
  </si>
  <si>
    <t>DIMBA</t>
  </si>
  <si>
    <t>Léonie Astrella</t>
  </si>
  <si>
    <t>03039</t>
  </si>
  <si>
    <t>ATANGANA OBAMA</t>
  </si>
  <si>
    <t>Gladys Tatiana</t>
  </si>
  <si>
    <t>03040</t>
  </si>
  <si>
    <t>MAGNE</t>
  </si>
  <si>
    <t>Jeanne Laure</t>
  </si>
  <si>
    <t>03041</t>
  </si>
  <si>
    <t>MBA</t>
  </si>
  <si>
    <t>Diane Thérèse</t>
  </si>
  <si>
    <t>Agent SMI</t>
  </si>
  <si>
    <t>03042</t>
  </si>
  <si>
    <t>MANDOU NCHARE MOUNIRA</t>
  </si>
  <si>
    <t>03043</t>
  </si>
  <si>
    <t>EMANDA</t>
  </si>
  <si>
    <t>Joseph Bernetel</t>
  </si>
  <si>
    <t>03044</t>
  </si>
  <si>
    <t>KEMAYOU TCHAKOUNTE</t>
  </si>
  <si>
    <t>Leticia</t>
  </si>
  <si>
    <t>Assistant Financier</t>
  </si>
  <si>
    <t>DIRECTION COMPTA. ET FINANCES</t>
  </si>
  <si>
    <t>03045</t>
  </si>
  <si>
    <t>NAMA NOA</t>
  </si>
  <si>
    <t>Marc Willy</t>
  </si>
  <si>
    <t>03046</t>
  </si>
  <si>
    <t>NLATE ZO'O</t>
  </si>
  <si>
    <t>Romaine Michelle</t>
  </si>
  <si>
    <t>03047</t>
  </si>
  <si>
    <t>BEKONO MA'A</t>
  </si>
  <si>
    <t>Paule Olivia</t>
  </si>
  <si>
    <t>03048</t>
  </si>
  <si>
    <t>OMBOLO ONGUENE</t>
  </si>
  <si>
    <t>Adrien Junior</t>
  </si>
  <si>
    <t>03049</t>
  </si>
  <si>
    <t>DUPOND</t>
  </si>
  <si>
    <t>Samuel Gilles</t>
  </si>
  <si>
    <t>03050</t>
  </si>
  <si>
    <t>NOUPIATCHE KADJIBOUE</t>
  </si>
  <si>
    <t>Bernard</t>
  </si>
  <si>
    <t>03051</t>
  </si>
  <si>
    <t>Jessica Lauren Ruth ESSOME</t>
  </si>
  <si>
    <t>03052</t>
  </si>
  <si>
    <t>KAMPETE</t>
  </si>
  <si>
    <t>Dominique</t>
  </si>
  <si>
    <t>03053</t>
  </si>
  <si>
    <t>LIDJO</t>
  </si>
  <si>
    <t>Arbogaste</t>
  </si>
  <si>
    <t>03054</t>
  </si>
  <si>
    <t>ELE MEVA'A</t>
  </si>
  <si>
    <t>Hugues Donald</t>
  </si>
  <si>
    <t>03055</t>
  </si>
  <si>
    <t>ALADJI MOUSTAPHA</t>
  </si>
  <si>
    <t>03056</t>
  </si>
  <si>
    <t>YSSA IBN YSSA</t>
  </si>
  <si>
    <t>03057</t>
  </si>
  <si>
    <t>MENDJANG</t>
  </si>
  <si>
    <t>Luc Chamberlin</t>
  </si>
  <si>
    <t>03058</t>
  </si>
  <si>
    <t>MBESSEANG NGANG</t>
  </si>
  <si>
    <t>Blériot Raoul</t>
  </si>
  <si>
    <t>03059</t>
  </si>
  <si>
    <t>METON MESSINA YAOVI DOUZANI</t>
  </si>
  <si>
    <t>03060</t>
  </si>
  <si>
    <t>NNOMO ONDOA</t>
  </si>
  <si>
    <t>Régine Honorine</t>
  </si>
  <si>
    <t>03061</t>
  </si>
  <si>
    <t>NDI</t>
  </si>
  <si>
    <t>Marcelle Erika</t>
  </si>
  <si>
    <t>03062</t>
  </si>
  <si>
    <t>NDJIKI AMBATTA</t>
  </si>
  <si>
    <t>Alphonse Brice</t>
  </si>
  <si>
    <t>03063</t>
  </si>
  <si>
    <t>BOTOYO KWETE</t>
  </si>
  <si>
    <t>Louis René</t>
  </si>
  <si>
    <t>03064</t>
  </si>
  <si>
    <t>CHIMI</t>
  </si>
  <si>
    <t>Hubert Rodrigue</t>
  </si>
  <si>
    <t>03065</t>
  </si>
  <si>
    <t>MEBOMA NGUELE</t>
  </si>
  <si>
    <t>Eloge</t>
  </si>
  <si>
    <t>03066</t>
  </si>
  <si>
    <t>NGOULE ENGAMBA</t>
  </si>
  <si>
    <t>Georges Fernand</t>
  </si>
  <si>
    <t>03067</t>
  </si>
  <si>
    <t>ASSIGA</t>
  </si>
  <si>
    <t>Simon Guy Arsène</t>
  </si>
  <si>
    <t>03068</t>
  </si>
  <si>
    <t>YAYA IBRAHIMA née BALKISSOU SADOU</t>
  </si>
  <si>
    <t>Comptable</t>
  </si>
  <si>
    <t>03069</t>
  </si>
  <si>
    <t>NKYE</t>
  </si>
  <si>
    <t>Sandrine Katleen Mar</t>
  </si>
  <si>
    <t>03070</t>
  </si>
  <si>
    <t>NKANA OWONA</t>
  </si>
  <si>
    <t>Rodrigue Michel</t>
  </si>
  <si>
    <t>03071</t>
  </si>
  <si>
    <t>ELINGUI MEKWEING</t>
  </si>
  <si>
    <t>Paule Danielle</t>
  </si>
  <si>
    <t>03072</t>
  </si>
  <si>
    <t>MESSOM MESSOM</t>
  </si>
  <si>
    <t>Jesse</t>
  </si>
  <si>
    <t>03073</t>
  </si>
  <si>
    <t>NGA ATANGANA</t>
  </si>
  <si>
    <t>Achille</t>
  </si>
  <si>
    <t>03074</t>
  </si>
  <si>
    <t>MVOGO ENYEGUE</t>
  </si>
  <si>
    <t>Justin Legrand</t>
  </si>
  <si>
    <t>Agent Sécurité Incendie</t>
  </si>
  <si>
    <t>03075</t>
  </si>
  <si>
    <t>DJATA ONDOUA</t>
  </si>
  <si>
    <t>Bonachy</t>
  </si>
  <si>
    <t>03076</t>
  </si>
  <si>
    <t>BANA</t>
  </si>
  <si>
    <t>Jean Brice</t>
  </si>
  <si>
    <t>03077</t>
  </si>
  <si>
    <t>ESSOMBA OMGBA</t>
  </si>
  <si>
    <t>Innocent Arsène</t>
  </si>
  <si>
    <t>03078</t>
  </si>
  <si>
    <t>TCHATCHOU SEUMO</t>
  </si>
  <si>
    <t>Jérémie</t>
  </si>
  <si>
    <t>03079</t>
  </si>
  <si>
    <t>DJAFAROU SADIGOU OUSMANOU</t>
  </si>
  <si>
    <t>03080</t>
  </si>
  <si>
    <t>AKPE NGONO</t>
  </si>
  <si>
    <t>François Cyrille</t>
  </si>
  <si>
    <t>03082</t>
  </si>
  <si>
    <t>MENGALA</t>
  </si>
  <si>
    <t>François Xavier</t>
  </si>
  <si>
    <t>03083</t>
  </si>
  <si>
    <t>NTONGO AKAK</t>
  </si>
  <si>
    <t>Jean Marie Warel</t>
  </si>
  <si>
    <t>03084</t>
  </si>
  <si>
    <t>LOHR NYOBE</t>
  </si>
  <si>
    <t>Florent Darel</t>
  </si>
  <si>
    <t>03085</t>
  </si>
  <si>
    <t>TSOGO ONANA</t>
  </si>
  <si>
    <t>Serges Bienvenu</t>
  </si>
  <si>
    <t>Magasinier Fret</t>
  </si>
  <si>
    <t>03086</t>
  </si>
  <si>
    <t>TCHATCHOUA</t>
  </si>
  <si>
    <t>William Bernard</t>
  </si>
  <si>
    <t>Chauffeur Camion Hôtelier</t>
  </si>
  <si>
    <t>03087</t>
  </si>
  <si>
    <t>FANKAM</t>
  </si>
  <si>
    <t>Technicien de Maint. sp Froid</t>
  </si>
  <si>
    <t>8B</t>
  </si>
  <si>
    <t>03088</t>
  </si>
  <si>
    <t>ATCHEWA</t>
  </si>
  <si>
    <t>Basile</t>
  </si>
  <si>
    <t>03089</t>
  </si>
  <si>
    <t>MANGA EBONGUE</t>
  </si>
  <si>
    <t>Théophile</t>
  </si>
  <si>
    <t>03090</t>
  </si>
  <si>
    <t>NGOUTCHEU TCHAMABE</t>
  </si>
  <si>
    <t>Michel Blaise</t>
  </si>
  <si>
    <t>03091</t>
  </si>
  <si>
    <t>NGASSEU SOUMENI</t>
  </si>
  <si>
    <t>Franky-Dolins</t>
  </si>
  <si>
    <t>03092</t>
  </si>
  <si>
    <t>TODOU</t>
  </si>
  <si>
    <t>Valentin</t>
  </si>
  <si>
    <t>Conducteur de Bus</t>
  </si>
  <si>
    <t>03093</t>
  </si>
  <si>
    <t>NJIMOLUH BITEGYE</t>
  </si>
  <si>
    <t>Samir Valère</t>
  </si>
  <si>
    <t>03094</t>
  </si>
  <si>
    <t>NLOM EDJO'O</t>
  </si>
  <si>
    <t>Pierre Benjamin</t>
  </si>
  <si>
    <t>03095</t>
  </si>
  <si>
    <t>EYINI</t>
  </si>
  <si>
    <t>Jacque-Joël</t>
  </si>
  <si>
    <t>03096</t>
  </si>
  <si>
    <t>MENYENG ESSAMA</t>
  </si>
  <si>
    <t>Andy</t>
  </si>
  <si>
    <t>03098</t>
  </si>
  <si>
    <t>TSOUNGUI NTOU</t>
  </si>
  <si>
    <t>Albert Kisito</t>
  </si>
  <si>
    <t>03099</t>
  </si>
  <si>
    <t>NDONG EDIMENGO</t>
  </si>
  <si>
    <t>Mathieu Junior</t>
  </si>
  <si>
    <t>03100</t>
  </si>
  <si>
    <t>NDONG</t>
  </si>
  <si>
    <t>Jean Philippe Simon</t>
  </si>
  <si>
    <t>03101</t>
  </si>
  <si>
    <t>ONANA BENOAH</t>
  </si>
  <si>
    <t>Paulin</t>
  </si>
  <si>
    <t>03102</t>
  </si>
  <si>
    <t>ATANGANA OMGBA</t>
  </si>
  <si>
    <t>Marcel Stève</t>
  </si>
  <si>
    <t>03103</t>
  </si>
  <si>
    <t>SAMA MENYIE</t>
  </si>
  <si>
    <t>Emile Albain</t>
  </si>
  <si>
    <t>03104</t>
  </si>
  <si>
    <t>DEFFO NOAH</t>
  </si>
  <si>
    <t>Thibaut</t>
  </si>
  <si>
    <t>03105</t>
  </si>
  <si>
    <t>ENGOUNG ASSEMBE</t>
  </si>
  <si>
    <t>Salomé Laure</t>
  </si>
  <si>
    <t>03106</t>
  </si>
  <si>
    <t>NTIMBENA EZA'A</t>
  </si>
  <si>
    <t>Melvin</t>
  </si>
  <si>
    <t>03108</t>
  </si>
  <si>
    <t>DEFFOSOP</t>
  </si>
  <si>
    <t>Gildas Kevin</t>
  </si>
  <si>
    <t>03109</t>
  </si>
  <si>
    <t>FANKAM NGALATCHUI</t>
  </si>
  <si>
    <t>Nicéphore</t>
  </si>
  <si>
    <t>03110</t>
  </si>
  <si>
    <t>EPOH</t>
  </si>
  <si>
    <t>Georges Romuald</t>
  </si>
  <si>
    <t>03111</t>
  </si>
  <si>
    <t>LOMDRA SOMONGOMO</t>
  </si>
  <si>
    <t>Guy Roger</t>
  </si>
  <si>
    <t>03112</t>
  </si>
  <si>
    <t>MBARGA</t>
  </si>
  <si>
    <t>François Patrick</t>
  </si>
  <si>
    <t>03113</t>
  </si>
  <si>
    <t>MOKTO TATE</t>
  </si>
  <si>
    <t>Ferdinand Junior</t>
  </si>
  <si>
    <t>03114</t>
  </si>
  <si>
    <t>MVONDO BELINGA</t>
  </si>
  <si>
    <t>03115</t>
  </si>
  <si>
    <t>NDJOM</t>
  </si>
  <si>
    <t>Emmanuel Ulrich</t>
  </si>
  <si>
    <t>03117</t>
  </si>
  <si>
    <t>ATANGANA MBARGA</t>
  </si>
  <si>
    <t>Anatole Christian</t>
  </si>
  <si>
    <t>03118</t>
  </si>
  <si>
    <t>ALENE ENGOLA</t>
  </si>
  <si>
    <t>Clémentine Larissa</t>
  </si>
  <si>
    <t>03119</t>
  </si>
  <si>
    <t>DONGMO</t>
  </si>
  <si>
    <t>Cyr-Real</t>
  </si>
  <si>
    <t>03120</t>
  </si>
  <si>
    <t>MANDENG</t>
  </si>
  <si>
    <t>Job Armand</t>
  </si>
  <si>
    <t>03122</t>
  </si>
  <si>
    <t>AMOUGOU AVIDI</t>
  </si>
  <si>
    <t>Jordan Fourier</t>
  </si>
  <si>
    <t>03123</t>
  </si>
  <si>
    <t>MBENG ENGAMBA</t>
  </si>
  <si>
    <t>Cédric Stéphane</t>
  </si>
  <si>
    <t>03124</t>
  </si>
  <si>
    <t>KENNE NGOUNE</t>
  </si>
  <si>
    <t>Sorelle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</si>
</sst>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 hh:mm"/>
    <numFmt numFmtId="60" formatCode="&quot; &quot;* #,##0&quot;   &quot;;&quot;-&quot;* #,##0&quot;   &quot;;&quot; &quot;* &quot;-&quot;??&quot;   &quot;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8"/>
      <color indexed="8"/>
      <name val="Calibri"/>
    </font>
    <font>
      <sz val="8"/>
      <color indexed="8"/>
      <name val="Calibri"/>
    </font>
    <font>
      <sz val="8"/>
      <color indexed="12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horizontal="left" vertical="center"/>
    </xf>
    <xf numFmtId="0" fontId="3" fillId="2" borderId="1" applyNumberFormat="0" applyFont="1" applyFill="1" applyBorder="1" applyAlignment="1" applyProtection="0">
      <alignment horizontal="center" vertical="center"/>
    </xf>
    <xf numFmtId="49" fontId="0" fillId="3" borderId="2" applyNumberFormat="1" applyFont="1" applyFill="1" applyBorder="1" applyAlignment="1" applyProtection="0">
      <alignment vertical="bottom"/>
    </xf>
    <xf numFmtId="59" fontId="0" fillId="3" borderId="2" applyNumberFormat="1" applyFont="1" applyFill="1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vertical="center"/>
    </xf>
    <xf numFmtId="59" fontId="4" fillId="3" borderId="2" applyNumberFormat="1" applyFont="1" applyFill="1" applyBorder="1" applyAlignment="1" applyProtection="0">
      <alignment horizontal="center" vertical="center"/>
    </xf>
    <xf numFmtId="60" fontId="4" fillId="3" borderId="2" applyNumberFormat="1" applyFont="1" applyFill="1" applyBorder="1" applyAlignment="1" applyProtection="0">
      <alignment horizontal="center" vertical="center"/>
    </xf>
    <xf numFmtId="60" fontId="0" fillId="3" borderId="2" applyNumberFormat="1" applyFont="1" applyFill="1" applyBorder="1" applyAlignment="1" applyProtection="0">
      <alignment vertical="center"/>
    </xf>
    <xf numFmtId="49" fontId="4" fillId="3" borderId="2" applyNumberFormat="1" applyFont="1" applyFill="1" applyBorder="1" applyAlignment="1" applyProtection="0">
      <alignment horizontal="center" vertical="center"/>
    </xf>
    <xf numFmtId="0" fontId="0" fillId="3" borderId="2" applyNumberFormat="0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59" fontId="0" fillId="3" borderId="3" applyNumberFormat="1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center"/>
    </xf>
    <xf numFmtId="59" fontId="4" fillId="3" borderId="3" applyNumberFormat="1" applyFont="1" applyFill="1" applyBorder="1" applyAlignment="1" applyProtection="0">
      <alignment horizontal="center" vertical="center"/>
    </xf>
    <xf numFmtId="60" fontId="4" fillId="3" borderId="3" applyNumberFormat="1" applyFont="1" applyFill="1" applyBorder="1" applyAlignment="1" applyProtection="0">
      <alignment horizontal="center" vertical="center"/>
    </xf>
    <xf numFmtId="60" fontId="0" fillId="3" borderId="3" applyNumberFormat="1" applyFont="1" applyFill="1" applyBorder="1" applyAlignment="1" applyProtection="0">
      <alignment vertical="center"/>
    </xf>
    <xf numFmtId="49" fontId="4" fillId="3" borderId="3" applyNumberFormat="1" applyFont="1" applyFill="1" applyBorder="1" applyAlignment="1" applyProtection="0">
      <alignment horizontal="center" vertical="center"/>
    </xf>
    <xf numFmtId="0" fontId="0" fillId="3" borderId="3" applyNumberFormat="0" applyFont="1" applyFill="1" applyBorder="1" applyAlignment="1" applyProtection="0">
      <alignment vertical="bottom"/>
    </xf>
    <xf numFmtId="0" fontId="5" fillId="3" borderId="3" applyNumberFormat="0" applyFont="1" applyFill="1" applyBorder="1" applyAlignment="1" applyProtection="0">
      <alignment vertical="center"/>
    </xf>
    <xf numFmtId="9" fontId="4" fillId="3" borderId="3" applyNumberFormat="1" applyFont="1" applyFill="1" applyBorder="1" applyAlignment="1" applyProtection="0">
      <alignment horizontal="center" vertical="center"/>
    </xf>
    <xf numFmtId="0" fontId="0" fillId="3" borderId="3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8d8d8"/>
      <rgbColor rgb="ffffffff"/>
      <rgbColor rgb="ffaaaaaa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R202"/>
  <sheetViews>
    <sheetView workbookViewId="0" showGridLines="0" defaultGridColor="1"/>
  </sheetViews>
  <sheetFormatPr defaultColWidth="8.83333" defaultRowHeight="12.75" customHeight="1" outlineLevelRow="0" outlineLevelCol="0"/>
  <cols>
    <col min="1" max="9" width="8.67188" style="1" customWidth="1"/>
    <col min="10" max="10" width="12" style="1" customWidth="1"/>
    <col min="11" max="15" width="8.67188" style="1" customWidth="1"/>
    <col min="16" max="16" width="10.5" style="1" customWidth="1"/>
    <col min="17" max="17" width="8.67188" style="1" customWidth="1"/>
    <col min="18" max="18" width="12.7266" style="1" customWidth="1"/>
    <col min="19" max="19" width="16.0156" style="1" customWidth="1"/>
    <col min="20" max="23" width="8.67188" style="1" customWidth="1"/>
    <col min="24" max="24" width="21.4688" style="1" customWidth="1"/>
    <col min="25" max="25" width="12.2734" style="1" customWidth="1"/>
    <col min="26" max="29" width="8.67188" style="1" customWidth="1"/>
    <col min="30" max="30" width="11.5" style="1" customWidth="1"/>
    <col min="31" max="44" width="9.17188" style="1" customWidth="1"/>
    <col min="45" max="16384" width="8.85156" style="1" customWidth="1"/>
  </cols>
  <sheetData>
    <row r="1" ht="16.5" customHeight="1">
      <c r="A1" t="s" s="2">
        <f t="shared" si="0" ref="A1:B1">"Matricule"</f>
        <v>0</v>
      </c>
      <c r="B1" t="s" s="2">
        <f t="shared" si="0"/>
        <v>0</v>
      </c>
      <c r="C1" t="s" s="3">
        <f>"Civilité"</f>
        <v>1</v>
      </c>
      <c r="D1" t="s" s="3">
        <f>"Nom"</f>
        <v>2</v>
      </c>
      <c r="E1" t="s" s="3">
        <f>"Prénom"</f>
        <v>3</v>
      </c>
      <c r="F1" t="s" s="2">
        <f>"Date de naissance"</f>
        <v>4</v>
      </c>
      <c r="G1" t="s" s="2">
        <f>"Date d'embauche société"</f>
        <v>5</v>
      </c>
      <c r="H1" t="s" s="2">
        <f>"Situation familiale"</f>
        <v>6</v>
      </c>
      <c r="I1" t="s" s="3">
        <v>7</v>
      </c>
      <c r="J1" t="s" s="3">
        <v>8</v>
      </c>
      <c r="K1" t="s" s="3">
        <v>9</v>
      </c>
      <c r="L1" t="s" s="2">
        <v>9</v>
      </c>
      <c r="M1" t="s" s="2">
        <v>10</v>
      </c>
      <c r="N1" t="s" s="2">
        <v>11</v>
      </c>
      <c r="O1" t="s" s="2">
        <f>"Nature du contrat"</f>
        <v>12</v>
      </c>
      <c r="P1" t="s" s="2">
        <v>13</v>
      </c>
      <c r="Q1" t="s" s="2">
        <v>14</v>
      </c>
      <c r="R1" t="s" s="2">
        <v>15</v>
      </c>
      <c r="S1" t="s" s="2">
        <v>16</v>
      </c>
      <c r="T1" t="s" s="2">
        <v>16</v>
      </c>
      <c r="U1" t="s" s="2">
        <v>17</v>
      </c>
      <c r="V1" t="s" s="2">
        <v>18</v>
      </c>
      <c r="W1" t="s" s="2">
        <v>19</v>
      </c>
      <c r="X1" t="s" s="2">
        <v>20</v>
      </c>
      <c r="Y1" t="s" s="2">
        <v>21</v>
      </c>
      <c r="Z1" t="s" s="2">
        <v>22</v>
      </c>
      <c r="AA1" t="s" s="2">
        <v>23</v>
      </c>
      <c r="AB1" t="s" s="2">
        <v>24</v>
      </c>
      <c r="AC1" t="s" s="2">
        <v>25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ht="13.55" customHeight="1">
      <c r="A2" t="s" s="5">
        <f t="shared" si="9" ref="A2:B2">"02914"</f>
        <v>26</v>
      </c>
      <c r="B2" t="s" s="5">
        <f t="shared" si="9"/>
        <v>26</v>
      </c>
      <c r="C2" t="s" s="5">
        <f t="shared" si="11" ref="C2:C201">"Monsieur"</f>
        <v>27</v>
      </c>
      <c r="D2" t="s" s="5">
        <f>"FEUKOUO OUAFO"</f>
        <v>28</v>
      </c>
      <c r="E2" t="s" s="5">
        <f>"Pius"</f>
        <v>29</v>
      </c>
      <c r="F2" s="6">
        <v>32254</v>
      </c>
      <c r="G2" s="6">
        <v>44827</v>
      </c>
      <c r="H2" t="s" s="5">
        <f t="shared" si="14" ref="H2:H202">"Célibataire"</f>
        <v>30</v>
      </c>
      <c r="I2" t="s" s="5">
        <v>31</v>
      </c>
      <c r="J2" t="s" s="5">
        <f t="shared" si="15" ref="J2:J201">"Agent de Chargement"</f>
        <v>32</v>
      </c>
      <c r="K2" t="s" s="5">
        <f t="shared" si="16" ref="K2:K201">"DIRECTION DX.DLA"</f>
        <v>33</v>
      </c>
      <c r="L2" t="s" s="7">
        <v>34</v>
      </c>
      <c r="M2" t="s" s="5">
        <v>31</v>
      </c>
      <c r="N2" t="s" s="5">
        <v>35</v>
      </c>
      <c r="O2" t="s" s="5">
        <v>36</v>
      </c>
      <c r="P2" s="8">
        <f>G2</f>
        <v>44827</v>
      </c>
      <c r="Q2" s="8">
        <f>P2+364</f>
        <v>45191</v>
      </c>
      <c r="R2" s="8">
        <f>Q2+1</f>
        <v>45192</v>
      </c>
      <c r="S2" s="8">
        <f>R2+29</f>
        <v>45221</v>
      </c>
      <c r="T2" s="9">
        <v>30</v>
      </c>
      <c r="U2" s="10">
        <v>0</v>
      </c>
      <c r="V2" s="10">
        <f>T2-U2</f>
        <v>30</v>
      </c>
      <c r="W2" s="8">
        <f>R2+V2</f>
        <v>45222</v>
      </c>
      <c r="X2" s="8">
        <f>S2+1</f>
        <v>45222</v>
      </c>
      <c r="Y2" s="8">
        <f>X2+365</f>
        <v>45587</v>
      </c>
      <c r="Z2" t="s" s="11">
        <v>37</v>
      </c>
      <c r="AA2" t="s" s="7">
        <v>38</v>
      </c>
      <c r="AB2" t="s" s="7">
        <v>39</v>
      </c>
      <c r="AC2" t="s" s="7">
        <v>40</v>
      </c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</row>
    <row r="3" ht="13.55" customHeight="1">
      <c r="A3" t="s" s="13">
        <f t="shared" si="25" ref="A3:B3">"02915"</f>
        <v>41</v>
      </c>
      <c r="B3" t="s" s="13">
        <f t="shared" si="25"/>
        <v>41</v>
      </c>
      <c r="C3" t="s" s="13">
        <f t="shared" si="11"/>
        <v>27</v>
      </c>
      <c r="D3" t="s" s="13">
        <f>"ZAME MEZENE"</f>
        <v>42</v>
      </c>
      <c r="E3" t="s" s="13">
        <f>"Ulric Patient"</f>
        <v>43</v>
      </c>
      <c r="F3" s="14">
        <v>33272</v>
      </c>
      <c r="G3" s="14">
        <v>44833</v>
      </c>
      <c r="H3" t="s" s="13">
        <f t="shared" si="14"/>
        <v>30</v>
      </c>
      <c r="I3" t="s" s="13">
        <v>31</v>
      </c>
      <c r="J3" t="s" s="13">
        <f t="shared" si="15"/>
        <v>32</v>
      </c>
      <c r="K3" t="s" s="13">
        <f t="shared" si="16"/>
        <v>33</v>
      </c>
      <c r="L3" t="s" s="15">
        <v>34</v>
      </c>
      <c r="M3" t="s" s="13">
        <v>31</v>
      </c>
      <c r="N3" t="s" s="13">
        <v>35</v>
      </c>
      <c r="O3" t="s" s="13">
        <v>36</v>
      </c>
      <c r="P3" s="16">
        <f>G3</f>
        <v>44833</v>
      </c>
      <c r="Q3" s="16">
        <f>P3+364</f>
        <v>45197</v>
      </c>
      <c r="R3" s="16">
        <f>Q3+1</f>
        <v>45198</v>
      </c>
      <c r="S3" s="16">
        <f>R3+29</f>
        <v>45227</v>
      </c>
      <c r="T3" s="17">
        <v>30</v>
      </c>
      <c r="U3" s="18">
        <v>0</v>
      </c>
      <c r="V3" s="18">
        <f>T3-U3</f>
        <v>30</v>
      </c>
      <c r="W3" s="16">
        <f>R3+V3</f>
        <v>45228</v>
      </c>
      <c r="X3" s="16">
        <f>S3+1</f>
        <v>45228</v>
      </c>
      <c r="Y3" s="16">
        <f>X3+365</f>
        <v>45593</v>
      </c>
      <c r="Z3" t="s" s="19">
        <v>37</v>
      </c>
      <c r="AA3" t="s" s="15">
        <v>44</v>
      </c>
      <c r="AB3" t="s" s="15">
        <v>45</v>
      </c>
      <c r="AC3" t="s" s="15">
        <v>40</v>
      </c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</row>
    <row r="4" ht="13.55" customHeight="1">
      <c r="A4" t="s" s="13">
        <f t="shared" si="41" ref="A4:B4">"02916"</f>
        <v>46</v>
      </c>
      <c r="B4" t="s" s="13">
        <f t="shared" si="41"/>
        <v>46</v>
      </c>
      <c r="C4" t="s" s="13">
        <f t="shared" si="11"/>
        <v>27</v>
      </c>
      <c r="D4" t="s" s="13">
        <f>"BAYIHA"</f>
        <v>47</v>
      </c>
      <c r="E4" t="s" s="13">
        <f>"Silas"</f>
        <v>48</v>
      </c>
      <c r="F4" s="14">
        <v>36188</v>
      </c>
      <c r="G4" s="14">
        <v>44837</v>
      </c>
      <c r="H4" t="s" s="13">
        <f t="shared" si="14"/>
        <v>30</v>
      </c>
      <c r="I4" t="s" s="13">
        <v>31</v>
      </c>
      <c r="J4" t="s" s="13">
        <f t="shared" si="15"/>
        <v>32</v>
      </c>
      <c r="K4" t="s" s="13">
        <f t="shared" si="16"/>
        <v>33</v>
      </c>
      <c r="L4" t="s" s="15">
        <v>34</v>
      </c>
      <c r="M4" t="s" s="13">
        <v>31</v>
      </c>
      <c r="N4" t="s" s="13">
        <v>35</v>
      </c>
      <c r="O4" t="s" s="13">
        <v>36</v>
      </c>
      <c r="P4" s="16">
        <f>G4</f>
        <v>44837</v>
      </c>
      <c r="Q4" s="16">
        <f>P4+364</f>
        <v>45201</v>
      </c>
      <c r="R4" s="16">
        <f>Q4+1</f>
        <v>45202</v>
      </c>
      <c r="S4" s="16">
        <f>R4+29</f>
        <v>45231</v>
      </c>
      <c r="T4" s="17">
        <v>30</v>
      </c>
      <c r="U4" s="18">
        <v>0</v>
      </c>
      <c r="V4" s="18">
        <f>T4-U4</f>
        <v>30</v>
      </c>
      <c r="W4" s="16">
        <f>R4+V4</f>
        <v>45232</v>
      </c>
      <c r="X4" s="16">
        <f>S4+1</f>
        <v>45232</v>
      </c>
      <c r="Y4" s="16">
        <f>X4+365</f>
        <v>45597</v>
      </c>
      <c r="Z4" t="s" s="19">
        <v>37</v>
      </c>
      <c r="AA4" t="s" s="15">
        <v>44</v>
      </c>
      <c r="AB4" t="s" s="15">
        <v>45</v>
      </c>
      <c r="AC4" t="s" s="15">
        <v>40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</row>
    <row r="5" ht="13.55" customHeight="1">
      <c r="A5" t="s" s="13">
        <f t="shared" si="57" ref="A5:B5">"02917"</f>
        <v>49</v>
      </c>
      <c r="B5" t="s" s="13">
        <f t="shared" si="57"/>
        <v>49</v>
      </c>
      <c r="C5" t="s" s="13">
        <f t="shared" si="11"/>
        <v>27</v>
      </c>
      <c r="D5" t="s" s="13">
        <f>"Claude NDJEYI NTEME Valery"</f>
        <v>50</v>
      </c>
      <c r="E5" t="s" s="13">
        <f t="shared" si="61" ref="E5:E162">""</f>
      </c>
      <c r="F5" s="14">
        <v>35607</v>
      </c>
      <c r="G5" s="14">
        <v>44833</v>
      </c>
      <c r="H5" t="s" s="13">
        <f t="shared" si="14"/>
        <v>30</v>
      </c>
      <c r="I5" t="s" s="13">
        <v>31</v>
      </c>
      <c r="J5" t="s" s="13">
        <f t="shared" si="15"/>
        <v>32</v>
      </c>
      <c r="K5" t="s" s="13">
        <f t="shared" si="16"/>
        <v>33</v>
      </c>
      <c r="L5" t="s" s="15">
        <v>34</v>
      </c>
      <c r="M5" t="s" s="13">
        <v>31</v>
      </c>
      <c r="N5" t="s" s="13">
        <v>35</v>
      </c>
      <c r="O5" t="s" s="13">
        <v>36</v>
      </c>
      <c r="P5" s="16">
        <f>G5</f>
        <v>44833</v>
      </c>
      <c r="Q5" s="16">
        <f>P5+364</f>
        <v>45197</v>
      </c>
      <c r="R5" s="16">
        <f>Q5+1</f>
        <v>45198</v>
      </c>
      <c r="S5" s="16">
        <f>R5+29</f>
        <v>45227</v>
      </c>
      <c r="T5" s="17">
        <v>30</v>
      </c>
      <c r="U5" s="18">
        <v>0</v>
      </c>
      <c r="V5" s="18">
        <f>T5-U5</f>
        <v>30</v>
      </c>
      <c r="W5" s="16">
        <f>R5+V5</f>
        <v>45228</v>
      </c>
      <c r="X5" s="16">
        <f>S5+1</f>
        <v>45228</v>
      </c>
      <c r="Y5" s="16">
        <f>X5+365</f>
        <v>45593</v>
      </c>
      <c r="Z5" s="21"/>
      <c r="AA5" t="s" s="15">
        <v>44</v>
      </c>
      <c r="AB5" t="s" s="15">
        <v>45</v>
      </c>
      <c r="AC5" t="s" s="15">
        <v>40</v>
      </c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</row>
    <row r="6" ht="13.55" customHeight="1">
      <c r="A6" t="s" s="13">
        <f t="shared" si="73" ref="A6:B6">"02918"</f>
        <v>51</v>
      </c>
      <c r="B6" t="s" s="13">
        <f t="shared" si="73"/>
        <v>51</v>
      </c>
      <c r="C6" t="s" s="13">
        <f t="shared" si="11"/>
        <v>27</v>
      </c>
      <c r="D6" t="s" s="13">
        <f>"ATANGA Dilan FRU"</f>
        <v>52</v>
      </c>
      <c r="E6" t="s" s="13">
        <f t="shared" si="61"/>
      </c>
      <c r="F6" s="14">
        <v>36031</v>
      </c>
      <c r="G6" s="14">
        <v>44818</v>
      </c>
      <c r="H6" t="s" s="13">
        <f t="shared" si="14"/>
        <v>30</v>
      </c>
      <c r="I6" t="s" s="13">
        <v>31</v>
      </c>
      <c r="J6" t="s" s="13">
        <f t="shared" si="15"/>
        <v>32</v>
      </c>
      <c r="K6" t="s" s="13">
        <f t="shared" si="16"/>
        <v>33</v>
      </c>
      <c r="L6" t="s" s="15">
        <v>34</v>
      </c>
      <c r="M6" t="s" s="13">
        <v>31</v>
      </c>
      <c r="N6" t="s" s="13">
        <v>35</v>
      </c>
      <c r="O6" t="s" s="13">
        <v>36</v>
      </c>
      <c r="P6" s="16">
        <f>G6</f>
        <v>44818</v>
      </c>
      <c r="Q6" s="16">
        <f>P6+364</f>
        <v>45182</v>
      </c>
      <c r="R6" s="16">
        <f>Q6+1</f>
        <v>45183</v>
      </c>
      <c r="S6" s="16">
        <f>R6+29</f>
        <v>45212</v>
      </c>
      <c r="T6" s="17">
        <v>30</v>
      </c>
      <c r="U6" s="18">
        <v>0</v>
      </c>
      <c r="V6" s="18">
        <f>T6-U6</f>
        <v>30</v>
      </c>
      <c r="W6" s="16">
        <f>R6+V6</f>
        <v>45213</v>
      </c>
      <c r="X6" s="16">
        <f>S6+1</f>
        <v>45213</v>
      </c>
      <c r="Y6" s="16">
        <f>X6+365</f>
        <v>45578</v>
      </c>
      <c r="Z6" s="22"/>
      <c r="AA6" t="s" s="15">
        <v>44</v>
      </c>
      <c r="AB6" t="s" s="15">
        <v>45</v>
      </c>
      <c r="AC6" t="s" s="15">
        <v>40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ht="13.55" customHeight="1">
      <c r="A7" t="s" s="13">
        <f t="shared" si="89" ref="A7:B7">"02919"</f>
        <v>53</v>
      </c>
      <c r="B7" t="s" s="13">
        <f t="shared" si="89"/>
        <v>53</v>
      </c>
      <c r="C7" t="s" s="13">
        <f t="shared" si="11"/>
        <v>27</v>
      </c>
      <c r="D7" t="s" s="13">
        <f>"OTTOU"</f>
        <v>54</v>
      </c>
      <c r="E7" t="s" s="13">
        <f t="shared" si="93" ref="E7:E108">"Jean Jacques"</f>
        <v>55</v>
      </c>
      <c r="F7" s="14">
        <v>33142</v>
      </c>
      <c r="G7" s="14">
        <v>44833</v>
      </c>
      <c r="H7" t="s" s="13">
        <f t="shared" si="14"/>
        <v>30</v>
      </c>
      <c r="I7" t="s" s="13">
        <v>56</v>
      </c>
      <c r="J7" t="s" s="13">
        <f t="shared" si="95" ref="J7:J8">"Aide Tech de Maint. Electricit"</f>
        <v>57</v>
      </c>
      <c r="K7" t="s" s="13">
        <f t="shared" si="96" ref="K7:K176">"DIRECTION EXPLOITATION"</f>
        <v>58</v>
      </c>
      <c r="L7" t="s" s="15">
        <v>59</v>
      </c>
      <c r="M7" t="s" s="13">
        <v>56</v>
      </c>
      <c r="N7" t="s" s="13">
        <v>60</v>
      </c>
      <c r="O7" t="s" s="13">
        <v>36</v>
      </c>
      <c r="P7" s="16">
        <f>G7</f>
        <v>44833</v>
      </c>
      <c r="Q7" s="16">
        <f>P7+364</f>
        <v>45197</v>
      </c>
      <c r="R7" s="16">
        <f>Q7+1</f>
        <v>45198</v>
      </c>
      <c r="S7" s="16">
        <f>R7+29</f>
        <v>45227</v>
      </c>
      <c r="T7" s="17">
        <v>30</v>
      </c>
      <c r="U7" s="18">
        <v>0</v>
      </c>
      <c r="V7" s="18">
        <f>T7-U7</f>
        <v>30</v>
      </c>
      <c r="W7" s="16">
        <f>R7+V7</f>
        <v>45228</v>
      </c>
      <c r="X7" s="16">
        <f>S7+1</f>
        <v>45228</v>
      </c>
      <c r="Y7" s="16">
        <f>X7+365</f>
        <v>45593</v>
      </c>
      <c r="Z7" t="s" s="19">
        <v>37</v>
      </c>
      <c r="AA7" t="s" s="15">
        <v>44</v>
      </c>
      <c r="AB7" t="s" s="15">
        <v>45</v>
      </c>
      <c r="AC7" t="s" s="15">
        <v>61</v>
      </c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</row>
    <row r="8" ht="13.55" customHeight="1">
      <c r="A8" t="s" s="13">
        <f t="shared" si="105" ref="A8:B8">"02920"</f>
        <v>62</v>
      </c>
      <c r="B8" t="s" s="13">
        <f t="shared" si="105"/>
        <v>62</v>
      </c>
      <c r="C8" t="s" s="13">
        <f t="shared" si="107" ref="C8:C202">"Mademoiselle"</f>
        <v>63</v>
      </c>
      <c r="D8" t="s" s="13">
        <f>"EMBOLO MINTONG"</f>
        <v>64</v>
      </c>
      <c r="E8" t="s" s="13">
        <f>"Salomé Blandine"</f>
        <v>65</v>
      </c>
      <c r="F8" s="14">
        <v>37437</v>
      </c>
      <c r="G8" s="14">
        <v>44830</v>
      </c>
      <c r="H8" t="s" s="13">
        <f t="shared" si="14"/>
        <v>30</v>
      </c>
      <c r="I8" t="s" s="13">
        <v>56</v>
      </c>
      <c r="J8" t="s" s="13">
        <f t="shared" si="95"/>
        <v>57</v>
      </c>
      <c r="K8" t="s" s="13">
        <f t="shared" si="96"/>
        <v>58</v>
      </c>
      <c r="L8" t="s" s="15">
        <v>59</v>
      </c>
      <c r="M8" t="s" s="13">
        <v>56</v>
      </c>
      <c r="N8" t="s" s="13">
        <v>60</v>
      </c>
      <c r="O8" t="s" s="13">
        <v>36</v>
      </c>
      <c r="P8" s="16">
        <f>G8</f>
        <v>44830</v>
      </c>
      <c r="Q8" s="16">
        <f>P8+364</f>
        <v>45194</v>
      </c>
      <c r="R8" s="16">
        <f>Q8+1</f>
        <v>45195</v>
      </c>
      <c r="S8" s="16">
        <f>R8+29</f>
        <v>45224</v>
      </c>
      <c r="T8" s="17">
        <v>30</v>
      </c>
      <c r="U8" s="18">
        <v>0</v>
      </c>
      <c r="V8" s="18">
        <f>T8-U8</f>
        <v>30</v>
      </c>
      <c r="W8" s="16">
        <f>R8+V8</f>
        <v>45225</v>
      </c>
      <c r="X8" s="16">
        <f>S8+1</f>
        <v>45225</v>
      </c>
      <c r="Y8" s="16">
        <f>X8+365</f>
        <v>45590</v>
      </c>
      <c r="Z8" t="s" s="19">
        <v>37</v>
      </c>
      <c r="AA8" t="s" s="15">
        <v>44</v>
      </c>
      <c r="AB8" t="s" s="15">
        <v>45</v>
      </c>
      <c r="AC8" t="s" s="15">
        <v>61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</row>
    <row r="9" ht="13.55" customHeight="1">
      <c r="A9" t="s" s="13">
        <f t="shared" si="121" ref="A9:B9">"02921"</f>
        <v>66</v>
      </c>
      <c r="B9" t="s" s="13">
        <f t="shared" si="121"/>
        <v>66</v>
      </c>
      <c r="C9" t="s" s="13">
        <f t="shared" si="107"/>
        <v>63</v>
      </c>
      <c r="D9" t="s" s="13">
        <f>"BILOA KOUMDA"</f>
        <v>67</v>
      </c>
      <c r="E9" t="s" s="13">
        <f>"Marina"</f>
        <v>68</v>
      </c>
      <c r="F9" s="14">
        <v>34838</v>
      </c>
      <c r="G9" s="14">
        <v>44837</v>
      </c>
      <c r="H9" t="s" s="13">
        <f t="shared" si="14"/>
        <v>30</v>
      </c>
      <c r="I9" t="s" s="13">
        <v>31</v>
      </c>
      <c r="J9" t="s" s="13">
        <f t="shared" si="127" ref="J9:J150">"Agent Passage"</f>
        <v>69</v>
      </c>
      <c r="K9" t="s" s="13">
        <f t="shared" si="16"/>
        <v>33</v>
      </c>
      <c r="L9" t="s" s="15">
        <v>34</v>
      </c>
      <c r="M9" t="s" s="13">
        <v>31</v>
      </c>
      <c r="N9" t="s" s="13">
        <v>70</v>
      </c>
      <c r="O9" t="s" s="13">
        <v>36</v>
      </c>
      <c r="P9" s="16">
        <f>G9</f>
        <v>44837</v>
      </c>
      <c r="Q9" s="16">
        <f>P9+364</f>
        <v>45201</v>
      </c>
      <c r="R9" s="16">
        <f>Q9+1</f>
        <v>45202</v>
      </c>
      <c r="S9" s="16">
        <f>R9+29</f>
        <v>45231</v>
      </c>
      <c r="T9" s="17">
        <v>30</v>
      </c>
      <c r="U9" s="18">
        <v>0</v>
      </c>
      <c r="V9" s="18">
        <f>T9-U9</f>
        <v>30</v>
      </c>
      <c r="W9" s="16">
        <f>R9+V9</f>
        <v>45232</v>
      </c>
      <c r="X9" s="16">
        <f>S9+1</f>
        <v>45232</v>
      </c>
      <c r="Y9" s="16">
        <f>X9+365</f>
        <v>45597</v>
      </c>
      <c r="Z9" t="s" s="19">
        <v>37</v>
      </c>
      <c r="AA9" t="s" s="15">
        <v>44</v>
      </c>
      <c r="AB9" t="s" s="15">
        <v>45</v>
      </c>
      <c r="AC9" t="s" s="15">
        <v>40</v>
      </c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</row>
    <row r="10" ht="13.55" customHeight="1">
      <c r="A10" t="s" s="13">
        <f t="shared" si="137" ref="A10:B10">"02922"</f>
        <v>71</v>
      </c>
      <c r="B10" t="s" s="13">
        <f t="shared" si="137"/>
        <v>71</v>
      </c>
      <c r="C10" t="s" s="13">
        <f t="shared" si="11"/>
        <v>27</v>
      </c>
      <c r="D10" t="s" s="13">
        <f>"MENGUELLE"</f>
        <v>72</v>
      </c>
      <c r="E10" t="s" s="13">
        <f>"Frédéric Gislain Loë"</f>
        <v>73</v>
      </c>
      <c r="F10" s="14">
        <v>34669</v>
      </c>
      <c r="G10" s="14">
        <v>44833</v>
      </c>
      <c r="H10" t="s" s="13">
        <f t="shared" si="14"/>
        <v>30</v>
      </c>
      <c r="I10" t="s" s="13">
        <v>74</v>
      </c>
      <c r="J10" t="s" s="13">
        <f t="shared" si="143" ref="J10:J178">"Agent Régulateur"</f>
        <v>75</v>
      </c>
      <c r="K10" t="s" s="13">
        <f t="shared" si="144" ref="K10:K178">"DIRECTION DX.NSI"</f>
        <v>76</v>
      </c>
      <c r="L10" t="s" s="15">
        <v>77</v>
      </c>
      <c r="M10" t="s" s="13">
        <v>74</v>
      </c>
      <c r="N10" t="s" s="13">
        <v>70</v>
      </c>
      <c r="O10" t="s" s="13">
        <v>36</v>
      </c>
      <c r="P10" s="16">
        <f>G10</f>
        <v>44833</v>
      </c>
      <c r="Q10" s="16">
        <f>P10+364</f>
        <v>45197</v>
      </c>
      <c r="R10" s="16">
        <f>Q10+1</f>
        <v>45198</v>
      </c>
      <c r="S10" s="16">
        <f>R10+29</f>
        <v>45227</v>
      </c>
      <c r="T10" s="17">
        <v>30</v>
      </c>
      <c r="U10" s="18">
        <v>0</v>
      </c>
      <c r="V10" s="18">
        <f>T10-U10</f>
        <v>30</v>
      </c>
      <c r="W10" s="16">
        <f>R10+V10</f>
        <v>45228</v>
      </c>
      <c r="X10" s="16">
        <f>S10+1</f>
        <v>45228</v>
      </c>
      <c r="Y10" s="16">
        <f>X10+365</f>
        <v>45593</v>
      </c>
      <c r="Z10" t="s" s="19">
        <v>37</v>
      </c>
      <c r="AA10" t="s" s="15">
        <v>44</v>
      </c>
      <c r="AB10" t="s" s="15">
        <v>45</v>
      </c>
      <c r="AC10" t="s" s="15">
        <v>78</v>
      </c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</row>
    <row r="11" ht="13.55" customHeight="1">
      <c r="A11" t="s" s="13">
        <f t="shared" si="153" ref="A11:B11">"02923"</f>
        <v>79</v>
      </c>
      <c r="B11" t="s" s="13">
        <f t="shared" si="153"/>
        <v>79</v>
      </c>
      <c r="C11" t="s" s="13">
        <f t="shared" si="107"/>
        <v>63</v>
      </c>
      <c r="D11" t="s" s="13">
        <f>"AFANA OWONO"</f>
        <v>80</v>
      </c>
      <c r="E11" t="s" s="13">
        <f>"Nicole"</f>
        <v>81</v>
      </c>
      <c r="F11" s="14">
        <v>29253</v>
      </c>
      <c r="G11" s="14">
        <v>44823</v>
      </c>
      <c r="H11" t="s" s="13">
        <f t="shared" si="14"/>
        <v>30</v>
      </c>
      <c r="I11" t="s" s="13">
        <v>31</v>
      </c>
      <c r="J11" t="s" s="13">
        <f t="shared" si="159" ref="J11:J186">"Agent Entretien Cabine Avions"</f>
        <v>82</v>
      </c>
      <c r="K11" t="s" s="13">
        <f t="shared" si="16"/>
        <v>33</v>
      </c>
      <c r="L11" t="s" s="15">
        <v>34</v>
      </c>
      <c r="M11" t="s" s="13">
        <v>31</v>
      </c>
      <c r="N11" t="s" s="13">
        <v>35</v>
      </c>
      <c r="O11" t="s" s="13">
        <v>83</v>
      </c>
      <c r="P11" s="16">
        <f>G11</f>
        <v>44823</v>
      </c>
      <c r="Q11" s="16">
        <f>P11+364</f>
        <v>45187</v>
      </c>
      <c r="R11" s="16">
        <f>Q11+1</f>
        <v>45188</v>
      </c>
      <c r="S11" s="16">
        <f>R11+29</f>
        <v>45217</v>
      </c>
      <c r="T11" s="17">
        <v>30</v>
      </c>
      <c r="U11" s="18">
        <v>0</v>
      </c>
      <c r="V11" s="18">
        <f>T11-U11</f>
        <v>30</v>
      </c>
      <c r="W11" s="16">
        <f>R11+V11</f>
        <v>45218</v>
      </c>
      <c r="X11" s="16">
        <f>S11+1</f>
        <v>45218</v>
      </c>
      <c r="Y11" s="16">
        <f>X11+365</f>
        <v>45583</v>
      </c>
      <c r="Z11" t="s" s="19">
        <v>37</v>
      </c>
      <c r="AA11" t="s" s="15">
        <v>44</v>
      </c>
      <c r="AB11" t="s" s="15">
        <v>45</v>
      </c>
      <c r="AC11" t="s" s="15">
        <v>40</v>
      </c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</row>
    <row r="12" ht="13.55" customHeight="1">
      <c r="A12" t="s" s="13">
        <f t="shared" si="169" ref="A12:B12">"02924"</f>
        <v>84</v>
      </c>
      <c r="B12" t="s" s="13">
        <f t="shared" si="169"/>
        <v>84</v>
      </c>
      <c r="C12" t="s" s="13">
        <f t="shared" si="107"/>
        <v>63</v>
      </c>
      <c r="D12" t="s" s="13">
        <f>"AMOUGOU"</f>
        <v>85</v>
      </c>
      <c r="E12" t="s" s="13">
        <f>"Régine Carine Michèl"</f>
        <v>86</v>
      </c>
      <c r="F12" s="14">
        <v>30317</v>
      </c>
      <c r="G12" s="14">
        <v>44823</v>
      </c>
      <c r="H12" t="s" s="13">
        <f t="shared" si="14"/>
        <v>30</v>
      </c>
      <c r="I12" t="s" s="13">
        <v>31</v>
      </c>
      <c r="J12" t="s" s="13">
        <f t="shared" si="159"/>
        <v>82</v>
      </c>
      <c r="K12" t="s" s="13">
        <f t="shared" si="16"/>
        <v>33</v>
      </c>
      <c r="L12" t="s" s="15">
        <v>34</v>
      </c>
      <c r="M12" t="s" s="13">
        <v>31</v>
      </c>
      <c r="N12" t="s" s="13">
        <v>35</v>
      </c>
      <c r="O12" t="s" s="13">
        <v>83</v>
      </c>
      <c r="P12" s="16">
        <f>G12</f>
        <v>44823</v>
      </c>
      <c r="Q12" s="16">
        <f>P12+364</f>
        <v>45187</v>
      </c>
      <c r="R12" s="16">
        <f>Q12+1</f>
        <v>45188</v>
      </c>
      <c r="S12" s="16">
        <f>R12+29</f>
        <v>45217</v>
      </c>
      <c r="T12" s="17">
        <v>30</v>
      </c>
      <c r="U12" s="18">
        <v>0</v>
      </c>
      <c r="V12" s="18">
        <f>T12-U12</f>
        <v>30</v>
      </c>
      <c r="W12" s="16">
        <f>R12+V12</f>
        <v>45218</v>
      </c>
      <c r="X12" s="16">
        <f>S12+1</f>
        <v>45218</v>
      </c>
      <c r="Y12" s="16">
        <f>X12+365</f>
        <v>45583</v>
      </c>
      <c r="Z12" s="21"/>
      <c r="AA12" t="s" s="15">
        <v>44</v>
      </c>
      <c r="AB12" t="s" s="15">
        <v>45</v>
      </c>
      <c r="AC12" t="s" s="15">
        <v>40</v>
      </c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</row>
    <row r="13" ht="13.55" customHeight="1">
      <c r="A13" t="s" s="13">
        <f t="shared" si="185" ref="A13:B13">"02925"</f>
        <v>87</v>
      </c>
      <c r="B13" t="s" s="13">
        <f t="shared" si="185"/>
        <v>87</v>
      </c>
      <c r="C13" t="s" s="13">
        <f t="shared" si="11"/>
        <v>27</v>
      </c>
      <c r="D13" t="s" s="13">
        <f>"NOAH MESSI"</f>
        <v>88</v>
      </c>
      <c r="E13" t="s" s="13">
        <f>"Côme Franck"</f>
        <v>89</v>
      </c>
      <c r="F13" s="14">
        <v>31800</v>
      </c>
      <c r="G13" s="14">
        <v>44839</v>
      </c>
      <c r="H13" t="s" s="13">
        <f t="shared" si="14"/>
        <v>30</v>
      </c>
      <c r="I13" t="s" s="13">
        <v>31</v>
      </c>
      <c r="J13" t="s" s="13">
        <f t="shared" si="15"/>
        <v>32</v>
      </c>
      <c r="K13" t="s" s="13">
        <f t="shared" si="16"/>
        <v>33</v>
      </c>
      <c r="L13" t="s" s="15">
        <v>34</v>
      </c>
      <c r="M13" t="s" s="13">
        <v>31</v>
      </c>
      <c r="N13" t="s" s="13">
        <v>35</v>
      </c>
      <c r="O13" t="s" s="13">
        <v>36</v>
      </c>
      <c r="P13" s="16">
        <f>G13</f>
        <v>44839</v>
      </c>
      <c r="Q13" s="16">
        <f>P13+364</f>
        <v>45203</v>
      </c>
      <c r="R13" s="16">
        <f>Q13+1</f>
        <v>45204</v>
      </c>
      <c r="S13" s="16">
        <f>R13+29</f>
        <v>45233</v>
      </c>
      <c r="T13" s="17">
        <v>30</v>
      </c>
      <c r="U13" s="18">
        <v>0</v>
      </c>
      <c r="V13" s="18">
        <f>T13-U13</f>
        <v>30</v>
      </c>
      <c r="W13" s="16">
        <f>R13+V13</f>
        <v>45234</v>
      </c>
      <c r="X13" s="16">
        <f>S13+1</f>
        <v>45234</v>
      </c>
      <c r="Y13" s="16">
        <f>X13+365</f>
        <v>45599</v>
      </c>
      <c r="Z13" s="22"/>
      <c r="AA13" t="s" s="15">
        <v>38</v>
      </c>
      <c r="AB13" t="s" s="15">
        <v>39</v>
      </c>
      <c r="AC13" t="s" s="15">
        <v>40</v>
      </c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</row>
    <row r="14" ht="13.55" customHeight="1">
      <c r="A14" t="s" s="13">
        <f t="shared" si="201" ref="A14:B14">"02926"</f>
        <v>90</v>
      </c>
      <c r="B14" t="s" s="13">
        <f t="shared" si="201"/>
        <v>90</v>
      </c>
      <c r="C14" t="s" s="13">
        <f t="shared" si="11"/>
        <v>27</v>
      </c>
      <c r="D14" t="s" s="13">
        <f>"FOCHIVE NGOULOURE"</f>
        <v>91</v>
      </c>
      <c r="E14" t="s" s="13">
        <f>"Adam"</f>
        <v>92</v>
      </c>
      <c r="F14" s="14">
        <v>27460</v>
      </c>
      <c r="G14" s="14">
        <v>44832</v>
      </c>
      <c r="H14" t="s" s="13">
        <v>93</v>
      </c>
      <c r="I14" t="s" s="13">
        <v>74</v>
      </c>
      <c r="J14" t="s" s="13">
        <f>"Agent Sûreté/Sécurité Incendie"</f>
        <v>94</v>
      </c>
      <c r="K14" t="s" s="13">
        <f t="shared" si="144"/>
        <v>76</v>
      </c>
      <c r="L14" t="s" s="15">
        <v>77</v>
      </c>
      <c r="M14" t="s" s="13">
        <v>74</v>
      </c>
      <c r="N14" t="s" s="13">
        <v>70</v>
      </c>
      <c r="O14" t="s" s="13">
        <v>36</v>
      </c>
      <c r="P14" s="16">
        <f>G14</f>
        <v>44832</v>
      </c>
      <c r="Q14" s="16">
        <f>P14+364</f>
        <v>45196</v>
      </c>
      <c r="R14" s="16">
        <f>Q14+1</f>
        <v>45197</v>
      </c>
      <c r="S14" s="16">
        <f>R14+29</f>
        <v>45226</v>
      </c>
      <c r="T14" s="17">
        <v>30</v>
      </c>
      <c r="U14" s="18">
        <v>0</v>
      </c>
      <c r="V14" s="18">
        <f>T14-U14</f>
        <v>30</v>
      </c>
      <c r="W14" s="16">
        <f>R14+V14</f>
        <v>45227</v>
      </c>
      <c r="X14" s="16">
        <f>S14+1</f>
        <v>45227</v>
      </c>
      <c r="Y14" s="16">
        <f>X14+365</f>
        <v>45592</v>
      </c>
      <c r="Z14" s="21"/>
      <c r="AA14" t="s" s="15">
        <v>44</v>
      </c>
      <c r="AB14" t="s" s="15">
        <v>45</v>
      </c>
      <c r="AC14" t="s" s="15">
        <v>78</v>
      </c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</row>
    <row r="15" ht="13.55" customHeight="1">
      <c r="A15" t="s" s="13">
        <f t="shared" si="216" ref="A15:B15">"02927"</f>
        <v>95</v>
      </c>
      <c r="B15" t="s" s="13">
        <f t="shared" si="216"/>
        <v>95</v>
      </c>
      <c r="C15" t="s" s="13">
        <f t="shared" si="11"/>
        <v>27</v>
      </c>
      <c r="D15" t="s" s="13">
        <f>"AYOLO BITANG"</f>
        <v>96</v>
      </c>
      <c r="E15" t="s" s="13">
        <f>"Armel"</f>
        <v>97</v>
      </c>
      <c r="F15" s="14">
        <v>33579</v>
      </c>
      <c r="G15" s="14">
        <v>44854</v>
      </c>
      <c r="H15" t="s" s="13">
        <f t="shared" si="14"/>
        <v>30</v>
      </c>
      <c r="I15" t="s" s="13">
        <v>31</v>
      </c>
      <c r="J15" t="s" s="13">
        <f t="shared" si="222" ref="J15:J177">"Manutentionnaire"</f>
        <v>98</v>
      </c>
      <c r="K15" t="s" s="13">
        <f t="shared" si="16"/>
        <v>33</v>
      </c>
      <c r="L15" t="s" s="15">
        <v>34</v>
      </c>
      <c r="M15" t="s" s="13">
        <v>31</v>
      </c>
      <c r="N15" t="s" s="13">
        <v>99</v>
      </c>
      <c r="O15" t="s" s="13">
        <v>36</v>
      </c>
      <c r="P15" s="16">
        <f>G15</f>
        <v>44854</v>
      </c>
      <c r="Q15" s="16">
        <f>P15+364</f>
        <v>45218</v>
      </c>
      <c r="R15" s="16">
        <f>Q15+1</f>
        <v>45219</v>
      </c>
      <c r="S15" s="16">
        <f>R15+29</f>
        <v>45248</v>
      </c>
      <c r="T15" s="17">
        <v>30</v>
      </c>
      <c r="U15" s="18">
        <v>0</v>
      </c>
      <c r="V15" s="18">
        <f>T15-U15</f>
        <v>30</v>
      </c>
      <c r="W15" s="16">
        <f>R15+V15</f>
        <v>45249</v>
      </c>
      <c r="X15" s="16">
        <f>S15+1</f>
        <v>45249</v>
      </c>
      <c r="Y15" s="16">
        <f>X15+365</f>
        <v>45614</v>
      </c>
      <c r="Z15" t="s" s="19">
        <v>37</v>
      </c>
      <c r="AA15" t="s" s="15">
        <v>44</v>
      </c>
      <c r="AB15" t="s" s="15">
        <v>45</v>
      </c>
      <c r="AC15" t="s" s="15">
        <v>40</v>
      </c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</row>
    <row r="16" ht="13.55" customHeight="1">
      <c r="A16" t="s" s="13">
        <f t="shared" si="232" ref="A16:B16">"02928"</f>
        <v>100</v>
      </c>
      <c r="B16" t="s" s="13">
        <f t="shared" si="232"/>
        <v>100</v>
      </c>
      <c r="C16" t="s" s="13">
        <f t="shared" si="11"/>
        <v>27</v>
      </c>
      <c r="D16" t="s" s="13">
        <f>"MVOUA TIGUI"</f>
        <v>101</v>
      </c>
      <c r="E16" t="s" s="13">
        <f>"Modeste Arnaud"</f>
        <v>102</v>
      </c>
      <c r="F16" s="14">
        <v>34157</v>
      </c>
      <c r="G16" s="14">
        <v>44851</v>
      </c>
      <c r="H16" t="s" s="13">
        <f t="shared" si="14"/>
        <v>30</v>
      </c>
      <c r="I16" t="s" s="13">
        <v>74</v>
      </c>
      <c r="J16" t="s" s="13">
        <f t="shared" si="222"/>
        <v>98</v>
      </c>
      <c r="K16" t="s" s="13">
        <f t="shared" si="144"/>
        <v>76</v>
      </c>
      <c r="L16" t="s" s="15">
        <v>77</v>
      </c>
      <c r="M16" t="s" s="13">
        <v>74</v>
      </c>
      <c r="N16" t="s" s="13">
        <v>35</v>
      </c>
      <c r="O16" t="s" s="13">
        <v>36</v>
      </c>
      <c r="P16" s="16">
        <f>G16</f>
        <v>44851</v>
      </c>
      <c r="Q16" s="16">
        <f>P16+364</f>
        <v>45215</v>
      </c>
      <c r="R16" s="16">
        <f>Q16+1</f>
        <v>45216</v>
      </c>
      <c r="S16" s="16">
        <f>R16+29</f>
        <v>45245</v>
      </c>
      <c r="T16" s="17">
        <v>30</v>
      </c>
      <c r="U16" s="18">
        <v>0</v>
      </c>
      <c r="V16" s="18">
        <f>T16-U16</f>
        <v>30</v>
      </c>
      <c r="W16" s="16">
        <f>R16+V16</f>
        <v>45246</v>
      </c>
      <c r="X16" s="16">
        <f>S16+1</f>
        <v>45246</v>
      </c>
      <c r="Y16" s="16">
        <f>X16+365</f>
        <v>45611</v>
      </c>
      <c r="Z16" t="s" s="19">
        <v>37</v>
      </c>
      <c r="AA16" t="s" s="15">
        <v>38</v>
      </c>
      <c r="AB16" t="s" s="15">
        <v>39</v>
      </c>
      <c r="AC16" t="s" s="15">
        <v>78</v>
      </c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</row>
    <row r="17" ht="13.55" customHeight="1">
      <c r="A17" t="s" s="13">
        <f t="shared" si="248" ref="A17:B17">"02929"</f>
        <v>103</v>
      </c>
      <c r="B17" t="s" s="13">
        <f t="shared" si="248"/>
        <v>103</v>
      </c>
      <c r="C17" t="s" s="13">
        <f t="shared" si="11"/>
        <v>27</v>
      </c>
      <c r="D17" t="s" s="13">
        <f>"WOUMOH NGONG"</f>
        <v>104</v>
      </c>
      <c r="E17" t="s" s="13">
        <f>"Modeste Vital"</f>
        <v>105</v>
      </c>
      <c r="F17" s="14">
        <v>35403</v>
      </c>
      <c r="G17" s="14">
        <v>44853</v>
      </c>
      <c r="H17" t="s" s="13">
        <f t="shared" si="14"/>
        <v>30</v>
      </c>
      <c r="I17" t="s" s="13">
        <v>74</v>
      </c>
      <c r="J17" t="s" s="13">
        <f t="shared" si="222"/>
        <v>98</v>
      </c>
      <c r="K17" t="s" s="13">
        <f t="shared" si="144"/>
        <v>76</v>
      </c>
      <c r="L17" t="s" s="15">
        <v>77</v>
      </c>
      <c r="M17" t="s" s="13">
        <v>74</v>
      </c>
      <c r="N17" t="s" s="13">
        <v>35</v>
      </c>
      <c r="O17" t="s" s="13">
        <v>36</v>
      </c>
      <c r="P17" s="16">
        <f>G17</f>
        <v>44853</v>
      </c>
      <c r="Q17" s="16">
        <f>P17+364</f>
        <v>45217</v>
      </c>
      <c r="R17" s="16">
        <f>Q17+1</f>
        <v>45218</v>
      </c>
      <c r="S17" s="16">
        <f>R17+29</f>
        <v>45247</v>
      </c>
      <c r="T17" s="17">
        <v>30</v>
      </c>
      <c r="U17" s="18">
        <v>0</v>
      </c>
      <c r="V17" s="18">
        <f>T17-U17</f>
        <v>30</v>
      </c>
      <c r="W17" s="16">
        <f>R17+V17</f>
        <v>45248</v>
      </c>
      <c r="X17" s="16">
        <f>S17+1</f>
        <v>45248</v>
      </c>
      <c r="Y17" s="16">
        <f>X17+365</f>
        <v>45613</v>
      </c>
      <c r="Z17" t="s" s="19">
        <v>37</v>
      </c>
      <c r="AA17" t="s" s="15">
        <v>44</v>
      </c>
      <c r="AB17" t="s" s="15">
        <v>45</v>
      </c>
      <c r="AC17" t="s" s="15">
        <v>78</v>
      </c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</row>
    <row r="18" ht="13.55" customHeight="1">
      <c r="A18" t="s" s="13">
        <f t="shared" si="264" ref="A18:B18">"02930"</f>
        <v>106</v>
      </c>
      <c r="B18" t="s" s="13">
        <f t="shared" si="264"/>
        <v>106</v>
      </c>
      <c r="C18" t="s" s="13">
        <f t="shared" si="11"/>
        <v>27</v>
      </c>
      <c r="D18" t="s" s="13">
        <f>"PEPUERE MFONKOUA"</f>
        <v>107</v>
      </c>
      <c r="E18" t="s" s="13">
        <f>"Hervé"</f>
        <v>108</v>
      </c>
      <c r="F18" s="14">
        <v>32288</v>
      </c>
      <c r="G18" s="14">
        <v>44865</v>
      </c>
      <c r="H18" t="s" s="13">
        <f t="shared" si="14"/>
        <v>30</v>
      </c>
      <c r="I18" t="s" s="13">
        <v>31</v>
      </c>
      <c r="J18" t="s" s="13">
        <f t="shared" si="222"/>
        <v>98</v>
      </c>
      <c r="K18" t="s" s="13">
        <f t="shared" si="16"/>
        <v>33</v>
      </c>
      <c r="L18" t="s" s="15">
        <v>34</v>
      </c>
      <c r="M18" t="s" s="13">
        <v>31</v>
      </c>
      <c r="N18" t="s" s="13">
        <v>35</v>
      </c>
      <c r="O18" t="s" s="13">
        <v>36</v>
      </c>
      <c r="P18" s="16">
        <f>G18</f>
        <v>44865</v>
      </c>
      <c r="Q18" s="16">
        <f>P18+364</f>
        <v>45229</v>
      </c>
      <c r="R18" s="16">
        <f>Q18+1</f>
        <v>45230</v>
      </c>
      <c r="S18" s="16">
        <f>R18+29</f>
        <v>45259</v>
      </c>
      <c r="T18" s="17">
        <v>30</v>
      </c>
      <c r="U18" s="18">
        <v>0</v>
      </c>
      <c r="V18" s="18">
        <f>T18-U18</f>
        <v>30</v>
      </c>
      <c r="W18" s="16">
        <f>R18+V18</f>
        <v>45260</v>
      </c>
      <c r="X18" s="16">
        <f>S18+1</f>
        <v>45260</v>
      </c>
      <c r="Y18" s="16">
        <f>X18+365</f>
        <v>45625</v>
      </c>
      <c r="Z18" t="s" s="19">
        <v>37</v>
      </c>
      <c r="AA18" t="s" s="15">
        <v>44</v>
      </c>
      <c r="AB18" t="s" s="15">
        <v>45</v>
      </c>
      <c r="AC18" t="s" s="15">
        <v>40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</row>
    <row r="19" ht="13.55" customHeight="1">
      <c r="A19" t="s" s="13">
        <f t="shared" si="280" ref="A19:B19">"02931"</f>
        <v>109</v>
      </c>
      <c r="B19" t="s" s="13">
        <f t="shared" si="280"/>
        <v>109</v>
      </c>
      <c r="C19" t="s" s="13">
        <f t="shared" si="11"/>
        <v>27</v>
      </c>
      <c r="D19" t="s" s="13">
        <f>"SONSA"</f>
        <v>110</v>
      </c>
      <c r="E19" t="s" s="13">
        <f>"Stéphane"</f>
        <v>111</v>
      </c>
      <c r="F19" s="14">
        <v>37176</v>
      </c>
      <c r="G19" s="14">
        <v>44869</v>
      </c>
      <c r="H19" t="s" s="13">
        <f t="shared" si="14"/>
        <v>30</v>
      </c>
      <c r="I19" t="s" s="13">
        <v>74</v>
      </c>
      <c r="J19" t="s" s="13">
        <f t="shared" si="222"/>
        <v>98</v>
      </c>
      <c r="K19" t="s" s="13">
        <f t="shared" si="144"/>
        <v>76</v>
      </c>
      <c r="L19" t="s" s="15">
        <v>77</v>
      </c>
      <c r="M19" t="s" s="13">
        <v>74</v>
      </c>
      <c r="N19" t="s" s="13">
        <v>35</v>
      </c>
      <c r="O19" t="s" s="13">
        <v>36</v>
      </c>
      <c r="P19" s="16">
        <f>G19</f>
        <v>44869</v>
      </c>
      <c r="Q19" s="16">
        <f>P19+364</f>
        <v>45233</v>
      </c>
      <c r="R19" s="16">
        <f>Q19+1</f>
        <v>45234</v>
      </c>
      <c r="S19" s="16">
        <f>R19+29</f>
        <v>45263</v>
      </c>
      <c r="T19" s="17">
        <v>30</v>
      </c>
      <c r="U19" s="18">
        <v>0</v>
      </c>
      <c r="V19" s="18">
        <f>T19-U19</f>
        <v>30</v>
      </c>
      <c r="W19" s="16">
        <f>R19+V19</f>
        <v>45264</v>
      </c>
      <c r="X19" s="16">
        <f>S19+1</f>
        <v>45264</v>
      </c>
      <c r="Y19" s="16">
        <f>X19+365</f>
        <v>45629</v>
      </c>
      <c r="Z19" t="s" s="19">
        <v>37</v>
      </c>
      <c r="AA19" t="s" s="15">
        <v>44</v>
      </c>
      <c r="AB19" t="s" s="15">
        <v>45</v>
      </c>
      <c r="AC19" t="s" s="15">
        <v>78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ht="13.55" customHeight="1">
      <c r="A20" t="s" s="13">
        <f t="shared" si="296" ref="A20:B20">"02932"</f>
        <v>112</v>
      </c>
      <c r="B20" t="s" s="13">
        <f t="shared" si="296"/>
        <v>112</v>
      </c>
      <c r="C20" t="s" s="13">
        <f t="shared" si="11"/>
        <v>27</v>
      </c>
      <c r="D20" t="s" s="13">
        <f>"AMBATATIA"</f>
        <v>113</v>
      </c>
      <c r="E20" t="s" s="13">
        <f>"Alphonse II"</f>
        <v>114</v>
      </c>
      <c r="F20" s="14">
        <v>30916</v>
      </c>
      <c r="G20" s="14">
        <v>44853</v>
      </c>
      <c r="H20" t="s" s="13">
        <f t="shared" si="14"/>
        <v>30</v>
      </c>
      <c r="I20" t="s" s="13">
        <v>74</v>
      </c>
      <c r="J20" t="s" s="13">
        <f>"Chauffeur"</f>
        <v>115</v>
      </c>
      <c r="K20" t="s" s="13">
        <f t="shared" si="303" ref="K20:K105">"DIRECTION AFFAIRES GENERALES"</f>
        <v>116</v>
      </c>
      <c r="L20" t="s" s="15">
        <v>117</v>
      </c>
      <c r="M20" t="s" s="13">
        <v>74</v>
      </c>
      <c r="N20" t="s" s="13">
        <v>60</v>
      </c>
      <c r="O20" t="s" s="13">
        <v>36</v>
      </c>
      <c r="P20" s="16">
        <f>G20</f>
        <v>44853</v>
      </c>
      <c r="Q20" s="16">
        <f>P20+364</f>
        <v>45217</v>
      </c>
      <c r="R20" s="16">
        <f>Q20+1</f>
        <v>45218</v>
      </c>
      <c r="S20" s="16">
        <f>R20+29</f>
        <v>45247</v>
      </c>
      <c r="T20" s="17">
        <v>30</v>
      </c>
      <c r="U20" s="18">
        <v>0</v>
      </c>
      <c r="V20" s="18">
        <f>T20-U20</f>
        <v>30</v>
      </c>
      <c r="W20" s="16">
        <f>R20+V20</f>
        <v>45248</v>
      </c>
      <c r="X20" s="16">
        <f>S20+1</f>
        <v>45248</v>
      </c>
      <c r="Y20" s="16">
        <f>X20+365</f>
        <v>45613</v>
      </c>
      <c r="Z20" t="s" s="19">
        <v>37</v>
      </c>
      <c r="AA20" t="s" s="15">
        <v>44</v>
      </c>
      <c r="AB20" t="s" s="15">
        <v>45</v>
      </c>
      <c r="AC20" t="s" s="15">
        <v>61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ht="13.55" customHeight="1">
      <c r="A21" t="s" s="13">
        <f t="shared" si="312" ref="A21:B21">"02935"</f>
        <v>118</v>
      </c>
      <c r="B21" t="s" s="13">
        <f t="shared" si="312"/>
        <v>118</v>
      </c>
      <c r="C21" t="s" s="13">
        <f t="shared" si="11"/>
        <v>27</v>
      </c>
      <c r="D21" t="s" s="13">
        <f>"MBAZOA ETOUNDI"</f>
        <v>119</v>
      </c>
      <c r="E21" t="s" s="13">
        <f>"Gabriel"</f>
        <v>120</v>
      </c>
      <c r="F21" s="14">
        <v>34018</v>
      </c>
      <c r="G21" s="14">
        <v>44868</v>
      </c>
      <c r="H21" t="s" s="13">
        <f t="shared" si="14"/>
        <v>30</v>
      </c>
      <c r="I21" t="s" s="13">
        <v>74</v>
      </c>
      <c r="J21" t="s" s="13">
        <f t="shared" si="15"/>
        <v>32</v>
      </c>
      <c r="K21" t="s" s="13">
        <f t="shared" si="144"/>
        <v>76</v>
      </c>
      <c r="L21" t="s" s="15">
        <v>77</v>
      </c>
      <c r="M21" t="s" s="13">
        <v>74</v>
      </c>
      <c r="N21" t="s" s="13">
        <v>35</v>
      </c>
      <c r="O21" t="s" s="13">
        <v>36</v>
      </c>
      <c r="P21" s="16">
        <f>G21</f>
        <v>44868</v>
      </c>
      <c r="Q21" s="16">
        <f>P21+364</f>
        <v>45232</v>
      </c>
      <c r="R21" s="16">
        <f>Q21+1</f>
        <v>45233</v>
      </c>
      <c r="S21" s="16">
        <f>R21+29</f>
        <v>45262</v>
      </c>
      <c r="T21" s="17">
        <v>30</v>
      </c>
      <c r="U21" s="18">
        <v>0</v>
      </c>
      <c r="V21" s="18">
        <f>T21-U21</f>
        <v>30</v>
      </c>
      <c r="W21" s="16">
        <f>R21+V21</f>
        <v>45263</v>
      </c>
      <c r="X21" s="16">
        <f>S21+1</f>
        <v>45263</v>
      </c>
      <c r="Y21" s="16">
        <f>X21+365</f>
        <v>45628</v>
      </c>
      <c r="Z21" t="s" s="19">
        <v>37</v>
      </c>
      <c r="AA21" t="s" s="15">
        <v>44</v>
      </c>
      <c r="AB21" t="s" s="15">
        <v>45</v>
      </c>
      <c r="AC21" t="s" s="15">
        <v>78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</row>
    <row r="22" ht="13.55" customHeight="1">
      <c r="A22" t="s" s="13">
        <f t="shared" si="328" ref="A22:B22">"02936"</f>
        <v>121</v>
      </c>
      <c r="B22" t="s" s="13">
        <f t="shared" si="328"/>
        <v>121</v>
      </c>
      <c r="C22" t="s" s="13">
        <f t="shared" si="11"/>
        <v>27</v>
      </c>
      <c r="D22" t="s" s="13">
        <f>"NYANGONO OBAME"</f>
        <v>122</v>
      </c>
      <c r="E22" t="s" s="13">
        <f t="shared" si="332" ref="E22:E27">"Junior"</f>
        <v>123</v>
      </c>
      <c r="F22" s="14">
        <v>36705</v>
      </c>
      <c r="G22" s="14">
        <v>44868</v>
      </c>
      <c r="H22" t="s" s="13">
        <f t="shared" si="14"/>
        <v>30</v>
      </c>
      <c r="I22" t="s" s="13">
        <v>31</v>
      </c>
      <c r="J22" t="s" s="13">
        <f t="shared" si="222"/>
        <v>98</v>
      </c>
      <c r="K22" t="s" s="13">
        <f t="shared" si="16"/>
        <v>33</v>
      </c>
      <c r="L22" t="s" s="15">
        <v>34</v>
      </c>
      <c r="M22" t="s" s="13">
        <v>31</v>
      </c>
      <c r="N22" t="s" s="13">
        <v>35</v>
      </c>
      <c r="O22" t="s" s="13">
        <v>36</v>
      </c>
      <c r="P22" s="16">
        <f>G22</f>
        <v>44868</v>
      </c>
      <c r="Q22" s="16">
        <f>P22+364</f>
        <v>45232</v>
      </c>
      <c r="R22" s="16">
        <f>Q22+1</f>
        <v>45233</v>
      </c>
      <c r="S22" s="16">
        <f>R22+29</f>
        <v>45262</v>
      </c>
      <c r="T22" s="17">
        <v>30</v>
      </c>
      <c r="U22" s="18">
        <v>0</v>
      </c>
      <c r="V22" s="18">
        <f>T22-U22</f>
        <v>30</v>
      </c>
      <c r="W22" s="16">
        <f>R22+V22</f>
        <v>45263</v>
      </c>
      <c r="X22" s="16">
        <f>S22+1</f>
        <v>45263</v>
      </c>
      <c r="Y22" s="16">
        <f>X22+365</f>
        <v>45628</v>
      </c>
      <c r="Z22" t="s" s="19">
        <v>37</v>
      </c>
      <c r="AA22" t="s" s="15">
        <v>44</v>
      </c>
      <c r="AB22" t="s" s="15">
        <v>45</v>
      </c>
      <c r="AC22" t="s" s="15">
        <v>40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</row>
    <row r="23" ht="13.55" customHeight="1">
      <c r="A23" t="s" s="13">
        <f t="shared" si="344" ref="A23:B23">"02937"</f>
        <v>124</v>
      </c>
      <c r="B23" t="s" s="13">
        <f t="shared" si="344"/>
        <v>124</v>
      </c>
      <c r="C23" t="s" s="13">
        <f t="shared" si="11"/>
        <v>27</v>
      </c>
      <c r="D23" t="s" s="13">
        <f>"POWO"</f>
        <v>125</v>
      </c>
      <c r="E23" t="s" s="13">
        <f>"Franklin"</f>
        <v>126</v>
      </c>
      <c r="F23" s="14">
        <v>32844</v>
      </c>
      <c r="G23" s="14">
        <v>44858</v>
      </c>
      <c r="H23" t="s" s="13">
        <f t="shared" si="14"/>
        <v>30</v>
      </c>
      <c r="I23" t="s" s="13">
        <v>74</v>
      </c>
      <c r="J23" t="s" s="13">
        <f t="shared" si="350" ref="J23:J176">"Chauffeur de Relève"</f>
        <v>127</v>
      </c>
      <c r="K23" t="s" s="13">
        <f t="shared" si="144"/>
        <v>76</v>
      </c>
      <c r="L23" t="s" s="15">
        <v>77</v>
      </c>
      <c r="M23" t="s" s="13">
        <v>74</v>
      </c>
      <c r="N23" t="s" s="13">
        <v>128</v>
      </c>
      <c r="O23" t="s" s="13">
        <v>36</v>
      </c>
      <c r="P23" s="16">
        <f>G23</f>
        <v>44858</v>
      </c>
      <c r="Q23" s="16">
        <f>P23+364</f>
        <v>45222</v>
      </c>
      <c r="R23" s="16">
        <f>Q23+1</f>
        <v>45223</v>
      </c>
      <c r="S23" s="16">
        <f>R23+29</f>
        <v>45252</v>
      </c>
      <c r="T23" s="17">
        <v>30</v>
      </c>
      <c r="U23" s="18">
        <v>0</v>
      </c>
      <c r="V23" s="18">
        <f>T23-U23</f>
        <v>30</v>
      </c>
      <c r="W23" s="16">
        <f>R23+V23</f>
        <v>45253</v>
      </c>
      <c r="X23" s="16">
        <f>S23+1</f>
        <v>45253</v>
      </c>
      <c r="Y23" s="16">
        <f>X23+365</f>
        <v>45618</v>
      </c>
      <c r="Z23" t="s" s="19">
        <v>37</v>
      </c>
      <c r="AA23" t="s" s="15">
        <v>44</v>
      </c>
      <c r="AB23" t="s" s="15">
        <v>45</v>
      </c>
      <c r="AC23" t="s" s="15">
        <v>78</v>
      </c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</row>
    <row r="24" ht="13.55" customHeight="1">
      <c r="A24" t="s" s="13">
        <f t="shared" si="360" ref="A24:B24">"02939"</f>
        <v>129</v>
      </c>
      <c r="B24" t="s" s="13">
        <f t="shared" si="360"/>
        <v>129</v>
      </c>
      <c r="C24" t="s" s="13">
        <f t="shared" si="11"/>
        <v>27</v>
      </c>
      <c r="D24" t="s" s="13">
        <f>"AMOUGOU OWONO"</f>
        <v>130</v>
      </c>
      <c r="E24" t="s" s="13">
        <f>"Pierre Claver"</f>
        <v>131</v>
      </c>
      <c r="F24" s="14">
        <v>34431</v>
      </c>
      <c r="G24" s="14">
        <v>44867</v>
      </c>
      <c r="H24" t="s" s="13">
        <f t="shared" si="14"/>
        <v>30</v>
      </c>
      <c r="I24" t="s" s="13">
        <v>31</v>
      </c>
      <c r="J24" t="s" s="13">
        <f t="shared" si="15"/>
        <v>32</v>
      </c>
      <c r="K24" t="s" s="13">
        <f t="shared" si="16"/>
        <v>33</v>
      </c>
      <c r="L24" t="s" s="15">
        <v>34</v>
      </c>
      <c r="M24" t="s" s="13">
        <v>31</v>
      </c>
      <c r="N24" t="s" s="13">
        <v>35</v>
      </c>
      <c r="O24" t="s" s="13">
        <v>36</v>
      </c>
      <c r="P24" s="16">
        <f>G24</f>
        <v>44867</v>
      </c>
      <c r="Q24" s="16">
        <f>P24+364</f>
        <v>45231</v>
      </c>
      <c r="R24" s="16">
        <f>Q24+1</f>
        <v>45232</v>
      </c>
      <c r="S24" s="16">
        <f>R24+29</f>
        <v>45261</v>
      </c>
      <c r="T24" s="17">
        <v>30</v>
      </c>
      <c r="U24" s="18">
        <v>0</v>
      </c>
      <c r="V24" s="18">
        <f>T24-U24</f>
        <v>30</v>
      </c>
      <c r="W24" s="16">
        <f>R24+V24</f>
        <v>45262</v>
      </c>
      <c r="X24" s="16">
        <f>S24+1</f>
        <v>45262</v>
      </c>
      <c r="Y24" s="16">
        <f>X24+365</f>
        <v>45627</v>
      </c>
      <c r="Z24" t="s" s="19">
        <v>37</v>
      </c>
      <c r="AA24" t="s" s="15">
        <v>44</v>
      </c>
      <c r="AB24" t="s" s="15">
        <v>45</v>
      </c>
      <c r="AC24" t="s" s="15">
        <v>40</v>
      </c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</row>
    <row r="25" ht="13.55" customHeight="1">
      <c r="A25" t="s" s="13">
        <f t="shared" si="376" ref="A25:B25">"02940"</f>
        <v>132</v>
      </c>
      <c r="B25" t="s" s="13">
        <f t="shared" si="376"/>
        <v>132</v>
      </c>
      <c r="C25" t="s" s="13">
        <f t="shared" si="11"/>
        <v>27</v>
      </c>
      <c r="D25" t="s" s="13">
        <f>"BOMBA"</f>
        <v>133</v>
      </c>
      <c r="E25" t="s" s="13">
        <f>"Théodore Thierry"</f>
        <v>134</v>
      </c>
      <c r="F25" s="14">
        <v>35243</v>
      </c>
      <c r="G25" s="14">
        <v>44872</v>
      </c>
      <c r="H25" t="s" s="13">
        <f t="shared" si="14"/>
        <v>30</v>
      </c>
      <c r="I25" t="s" s="13">
        <v>74</v>
      </c>
      <c r="J25" t="s" s="13">
        <f>"Comptable Mutuelle"</f>
        <v>135</v>
      </c>
      <c r="K25" t="s" s="13">
        <f>"DIRECTION RESSOURCES HUMAINES"</f>
        <v>136</v>
      </c>
      <c r="L25" t="s" s="15">
        <v>137</v>
      </c>
      <c r="M25" t="s" s="13">
        <v>74</v>
      </c>
      <c r="N25" t="s" s="13">
        <v>70</v>
      </c>
      <c r="O25" t="s" s="13">
        <v>36</v>
      </c>
      <c r="P25" s="16">
        <f>G25</f>
        <v>44872</v>
      </c>
      <c r="Q25" s="16">
        <f>P25+364</f>
        <v>45236</v>
      </c>
      <c r="R25" s="16">
        <f>Q25+1</f>
        <v>45237</v>
      </c>
      <c r="S25" s="16">
        <f>R25+29</f>
        <v>45266</v>
      </c>
      <c r="T25" s="17">
        <v>30</v>
      </c>
      <c r="U25" s="18">
        <v>0</v>
      </c>
      <c r="V25" s="18">
        <f>T25-U25</f>
        <v>30</v>
      </c>
      <c r="W25" s="16">
        <f>R25+V25</f>
        <v>45267</v>
      </c>
      <c r="X25" s="16">
        <f>S25+1</f>
        <v>45267</v>
      </c>
      <c r="Y25" s="16">
        <f>X25+365</f>
        <v>45632</v>
      </c>
      <c r="Z25" t="s" s="19">
        <v>37</v>
      </c>
      <c r="AA25" t="s" s="15">
        <v>44</v>
      </c>
      <c r="AB25" t="s" s="15">
        <v>45</v>
      </c>
      <c r="AC25" s="23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</row>
    <row r="26" ht="13.55" customHeight="1">
      <c r="A26" t="s" s="13">
        <f t="shared" si="392" ref="A26:B26">"02941"</f>
        <v>138</v>
      </c>
      <c r="B26" t="s" s="13">
        <f t="shared" si="392"/>
        <v>138</v>
      </c>
      <c r="C26" t="s" s="13">
        <f t="shared" si="11"/>
        <v>27</v>
      </c>
      <c r="D26" t="s" s="13">
        <f>"ABAKOH"</f>
        <v>139</v>
      </c>
      <c r="E26" t="s" s="13">
        <f>"Bruno"</f>
        <v>140</v>
      </c>
      <c r="F26" s="14">
        <v>35359</v>
      </c>
      <c r="G26" s="14">
        <v>44853</v>
      </c>
      <c r="H26" t="s" s="13">
        <f t="shared" si="14"/>
        <v>30</v>
      </c>
      <c r="I26" t="s" s="13">
        <v>31</v>
      </c>
      <c r="J26" t="s" s="13">
        <f t="shared" si="15"/>
        <v>32</v>
      </c>
      <c r="K26" t="s" s="13">
        <f t="shared" si="16"/>
        <v>33</v>
      </c>
      <c r="L26" t="s" s="15">
        <v>34</v>
      </c>
      <c r="M26" t="s" s="13">
        <v>31</v>
      </c>
      <c r="N26" t="s" s="13">
        <v>99</v>
      </c>
      <c r="O26" t="s" s="13">
        <v>36</v>
      </c>
      <c r="P26" s="16">
        <f>G26</f>
        <v>44853</v>
      </c>
      <c r="Q26" s="16">
        <f>P26+364</f>
        <v>45217</v>
      </c>
      <c r="R26" s="16">
        <f>Q26+1</f>
        <v>45218</v>
      </c>
      <c r="S26" s="16">
        <f>R26+29</f>
        <v>45247</v>
      </c>
      <c r="T26" s="17">
        <v>30</v>
      </c>
      <c r="U26" s="18">
        <v>0</v>
      </c>
      <c r="V26" s="18">
        <f>T26-U26</f>
        <v>30</v>
      </c>
      <c r="W26" s="16">
        <f>R26+V26</f>
        <v>45248</v>
      </c>
      <c r="X26" s="16">
        <f>S26+1</f>
        <v>45248</v>
      </c>
      <c r="Y26" s="16">
        <f>X26+365</f>
        <v>45613</v>
      </c>
      <c r="Z26" s="21"/>
      <c r="AA26" t="s" s="15">
        <v>44</v>
      </c>
      <c r="AB26" t="s" s="15">
        <v>45</v>
      </c>
      <c r="AC26" t="s" s="15">
        <v>40</v>
      </c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</row>
    <row r="27" ht="13.55" customHeight="1">
      <c r="A27" t="s" s="13">
        <f t="shared" si="408" ref="A27:B27">"02942"</f>
        <v>141</v>
      </c>
      <c r="B27" t="s" s="13">
        <f t="shared" si="408"/>
        <v>141</v>
      </c>
      <c r="C27" t="s" s="13">
        <f t="shared" si="11"/>
        <v>27</v>
      </c>
      <c r="D27" t="s" s="13">
        <f>"DJONGA SAKI"</f>
        <v>142</v>
      </c>
      <c r="E27" t="s" s="13">
        <f t="shared" si="332"/>
        <v>123</v>
      </c>
      <c r="F27" s="14">
        <v>35716</v>
      </c>
      <c r="G27" s="14">
        <v>44854</v>
      </c>
      <c r="H27" t="s" s="13">
        <f t="shared" si="14"/>
        <v>30</v>
      </c>
      <c r="I27" t="s" s="13">
        <v>31</v>
      </c>
      <c r="J27" t="s" s="13">
        <f t="shared" si="222"/>
        <v>98</v>
      </c>
      <c r="K27" t="s" s="13">
        <f t="shared" si="16"/>
        <v>33</v>
      </c>
      <c r="L27" t="s" s="15">
        <v>34</v>
      </c>
      <c r="M27" t="s" s="13">
        <v>31</v>
      </c>
      <c r="N27" t="s" s="13">
        <v>99</v>
      </c>
      <c r="O27" t="s" s="13">
        <v>36</v>
      </c>
      <c r="P27" s="16">
        <f>G27</f>
        <v>44854</v>
      </c>
      <c r="Q27" s="16">
        <f>P27+364</f>
        <v>45218</v>
      </c>
      <c r="R27" s="16">
        <f>Q27+1</f>
        <v>45219</v>
      </c>
      <c r="S27" s="16">
        <f>R27+29</f>
        <v>45248</v>
      </c>
      <c r="T27" s="17">
        <v>30</v>
      </c>
      <c r="U27" s="18">
        <v>0</v>
      </c>
      <c r="V27" s="18">
        <f>T27-U27</f>
        <v>30</v>
      </c>
      <c r="W27" s="16">
        <f>R27+V27</f>
        <v>45249</v>
      </c>
      <c r="X27" s="16">
        <f>S27+1</f>
        <v>45249</v>
      </c>
      <c r="Y27" s="16">
        <f>X27+365</f>
        <v>45614</v>
      </c>
      <c r="Z27" t="s" s="19">
        <v>37</v>
      </c>
      <c r="AA27" t="s" s="15">
        <v>44</v>
      </c>
      <c r="AB27" t="s" s="15">
        <v>45</v>
      </c>
      <c r="AC27" t="s" s="15">
        <v>40</v>
      </c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</row>
    <row r="28" ht="13.55" customHeight="1">
      <c r="A28" t="s" s="13">
        <f t="shared" si="424" ref="A28:B28">"02943"</f>
        <v>143</v>
      </c>
      <c r="B28" t="s" s="13">
        <f t="shared" si="424"/>
        <v>143</v>
      </c>
      <c r="C28" t="s" s="13">
        <f t="shared" si="11"/>
        <v>27</v>
      </c>
      <c r="D28" t="s" s="13">
        <f>"ESSOH ESSONGO"</f>
        <v>144</v>
      </c>
      <c r="E28" t="s" s="13">
        <f>"Boaz Duclos"</f>
        <v>145</v>
      </c>
      <c r="F28" s="14">
        <v>32652</v>
      </c>
      <c r="G28" s="14">
        <v>44854</v>
      </c>
      <c r="H28" t="s" s="13">
        <f t="shared" si="14"/>
        <v>30</v>
      </c>
      <c r="I28" t="s" s="13">
        <v>31</v>
      </c>
      <c r="J28" t="s" s="13">
        <f t="shared" si="222"/>
        <v>98</v>
      </c>
      <c r="K28" t="s" s="13">
        <f t="shared" si="16"/>
        <v>33</v>
      </c>
      <c r="L28" t="s" s="15">
        <v>34</v>
      </c>
      <c r="M28" t="s" s="13">
        <v>31</v>
      </c>
      <c r="N28" t="s" s="13">
        <v>99</v>
      </c>
      <c r="O28" t="s" s="13">
        <v>36</v>
      </c>
      <c r="P28" s="16">
        <f>G28</f>
        <v>44854</v>
      </c>
      <c r="Q28" s="16">
        <f>P28+364</f>
        <v>45218</v>
      </c>
      <c r="R28" s="16">
        <f>Q28+1</f>
        <v>45219</v>
      </c>
      <c r="S28" s="16">
        <f>R28+29</f>
        <v>45248</v>
      </c>
      <c r="T28" s="17">
        <v>30</v>
      </c>
      <c r="U28" s="18">
        <v>0</v>
      </c>
      <c r="V28" s="18">
        <f>T28-U28</f>
        <v>30</v>
      </c>
      <c r="W28" s="16">
        <f>R28+V28</f>
        <v>45249</v>
      </c>
      <c r="X28" s="16">
        <f>S28+1</f>
        <v>45249</v>
      </c>
      <c r="Y28" s="16">
        <f>X28+365</f>
        <v>45614</v>
      </c>
      <c r="Z28" t="s" s="19">
        <v>37</v>
      </c>
      <c r="AA28" t="s" s="15">
        <v>44</v>
      </c>
      <c r="AB28" t="s" s="15">
        <v>45</v>
      </c>
      <c r="AC28" t="s" s="15">
        <v>40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</row>
    <row r="29" ht="13.55" customHeight="1">
      <c r="A29" t="s" s="13">
        <f t="shared" si="440" ref="A29:B29">"02944"</f>
        <v>146</v>
      </c>
      <c r="B29" t="s" s="13">
        <f t="shared" si="440"/>
        <v>146</v>
      </c>
      <c r="C29" t="s" s="13">
        <f t="shared" si="11"/>
        <v>27</v>
      </c>
      <c r="D29" t="s" s="13">
        <f>"ACHENDUH Winston ANGUNWU"</f>
        <v>147</v>
      </c>
      <c r="E29" t="s" s="13">
        <f t="shared" si="61"/>
      </c>
      <c r="F29" s="14">
        <v>33867</v>
      </c>
      <c r="G29" s="14">
        <v>44854</v>
      </c>
      <c r="H29" t="s" s="13">
        <f t="shared" si="14"/>
        <v>30</v>
      </c>
      <c r="I29" t="s" s="13">
        <v>31</v>
      </c>
      <c r="J29" t="s" s="13">
        <f t="shared" si="222"/>
        <v>98</v>
      </c>
      <c r="K29" t="s" s="13">
        <f t="shared" si="16"/>
        <v>33</v>
      </c>
      <c r="L29" t="s" s="15">
        <v>34</v>
      </c>
      <c r="M29" t="s" s="13">
        <v>31</v>
      </c>
      <c r="N29" t="s" s="13">
        <v>99</v>
      </c>
      <c r="O29" t="s" s="13">
        <v>36</v>
      </c>
      <c r="P29" s="16">
        <f>G29</f>
        <v>44854</v>
      </c>
      <c r="Q29" s="16">
        <f>P29+364</f>
        <v>45218</v>
      </c>
      <c r="R29" s="16">
        <f>Q29+1</f>
        <v>45219</v>
      </c>
      <c r="S29" s="16">
        <f>R29+29</f>
        <v>45248</v>
      </c>
      <c r="T29" s="17">
        <v>30</v>
      </c>
      <c r="U29" s="18">
        <v>0</v>
      </c>
      <c r="V29" s="18">
        <f>T29-U29</f>
        <v>30</v>
      </c>
      <c r="W29" s="16">
        <f>R29+V29</f>
        <v>45249</v>
      </c>
      <c r="X29" s="16">
        <f>S29+1</f>
        <v>45249</v>
      </c>
      <c r="Y29" s="16">
        <f>X29+365</f>
        <v>45614</v>
      </c>
      <c r="Z29" t="s" s="19">
        <v>37</v>
      </c>
      <c r="AA29" t="s" s="15">
        <v>44</v>
      </c>
      <c r="AB29" t="s" s="15">
        <v>45</v>
      </c>
      <c r="AC29" t="s" s="15">
        <v>40</v>
      </c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</row>
    <row r="30" ht="13.55" customHeight="1">
      <c r="A30" t="s" s="13">
        <f t="shared" si="456" ref="A30:B30">"02945"</f>
        <v>148</v>
      </c>
      <c r="B30" t="s" s="13">
        <f t="shared" si="456"/>
        <v>148</v>
      </c>
      <c r="C30" t="s" s="13">
        <f t="shared" si="11"/>
        <v>27</v>
      </c>
      <c r="D30" t="s" s="13">
        <f>"NSOM MEDJO"</f>
        <v>149</v>
      </c>
      <c r="E30" t="s" s="13">
        <f>"Fabien Legrand"</f>
        <v>150</v>
      </c>
      <c r="F30" s="14">
        <v>34192</v>
      </c>
      <c r="G30" s="14">
        <v>44841</v>
      </c>
      <c r="H30" t="s" s="13">
        <f t="shared" si="14"/>
        <v>30</v>
      </c>
      <c r="I30" t="s" s="13">
        <v>31</v>
      </c>
      <c r="J30" t="s" s="13">
        <f t="shared" si="15"/>
        <v>32</v>
      </c>
      <c r="K30" t="s" s="13">
        <f t="shared" si="16"/>
        <v>33</v>
      </c>
      <c r="L30" t="s" s="15">
        <v>34</v>
      </c>
      <c r="M30" t="s" s="13">
        <v>31</v>
      </c>
      <c r="N30" t="s" s="13">
        <v>35</v>
      </c>
      <c r="O30" t="s" s="13">
        <v>36</v>
      </c>
      <c r="P30" s="16">
        <f>G30</f>
        <v>44841</v>
      </c>
      <c r="Q30" s="16">
        <f>P30+364</f>
        <v>45205</v>
      </c>
      <c r="R30" s="16">
        <f>Q30+1</f>
        <v>45206</v>
      </c>
      <c r="S30" s="16">
        <f>R30+29</f>
        <v>45235</v>
      </c>
      <c r="T30" s="17">
        <v>30</v>
      </c>
      <c r="U30" s="18">
        <v>0</v>
      </c>
      <c r="V30" s="18">
        <f>T30-U30</f>
        <v>30</v>
      </c>
      <c r="W30" s="16">
        <f>R30+V30</f>
        <v>45236</v>
      </c>
      <c r="X30" s="16">
        <f>S30+1</f>
        <v>45236</v>
      </c>
      <c r="Y30" s="16">
        <f>X30+365</f>
        <v>45601</v>
      </c>
      <c r="Z30" t="s" s="19">
        <v>37</v>
      </c>
      <c r="AA30" t="s" s="15">
        <v>44</v>
      </c>
      <c r="AB30" t="s" s="15">
        <v>45</v>
      </c>
      <c r="AC30" t="s" s="15">
        <v>40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ht="13.55" customHeight="1">
      <c r="A31" t="s" s="13">
        <f t="shared" si="472" ref="A31:B31">"02946"</f>
        <v>151</v>
      </c>
      <c r="B31" t="s" s="13">
        <f t="shared" si="472"/>
        <v>151</v>
      </c>
      <c r="C31" t="s" s="13">
        <f t="shared" si="107"/>
        <v>63</v>
      </c>
      <c r="D31" t="s" s="13">
        <f>"BEFE"</f>
        <v>152</v>
      </c>
      <c r="E31" t="s" s="13">
        <f>"Françoise Noëlle"</f>
        <v>153</v>
      </c>
      <c r="F31" s="14">
        <v>36154</v>
      </c>
      <c r="G31" s="14">
        <v>44846</v>
      </c>
      <c r="H31" t="s" s="13">
        <f t="shared" si="14"/>
        <v>30</v>
      </c>
      <c r="I31" t="s" s="13">
        <v>31</v>
      </c>
      <c r="J31" t="s" s="13">
        <f t="shared" si="127"/>
        <v>69</v>
      </c>
      <c r="K31" t="s" s="13">
        <f t="shared" si="16"/>
        <v>33</v>
      </c>
      <c r="L31" t="s" s="15">
        <v>34</v>
      </c>
      <c r="M31" t="s" s="13">
        <v>31</v>
      </c>
      <c r="N31" t="s" s="13">
        <v>70</v>
      </c>
      <c r="O31" t="s" s="13">
        <v>36</v>
      </c>
      <c r="P31" s="16">
        <f>G31</f>
        <v>44846</v>
      </c>
      <c r="Q31" s="16">
        <f>P31+364</f>
        <v>45210</v>
      </c>
      <c r="R31" s="16">
        <f>Q31+1</f>
        <v>45211</v>
      </c>
      <c r="S31" s="16">
        <f>R31+29</f>
        <v>45240</v>
      </c>
      <c r="T31" s="17">
        <v>30</v>
      </c>
      <c r="U31" s="18">
        <v>0</v>
      </c>
      <c r="V31" s="18">
        <f>T31-U31</f>
        <v>30</v>
      </c>
      <c r="W31" s="16">
        <f>R31+V31</f>
        <v>45241</v>
      </c>
      <c r="X31" s="16">
        <f>S31+1</f>
        <v>45241</v>
      </c>
      <c r="Y31" s="16">
        <f>X31+365</f>
        <v>45606</v>
      </c>
      <c r="Z31" t="s" s="19">
        <v>37</v>
      </c>
      <c r="AA31" t="s" s="15">
        <v>38</v>
      </c>
      <c r="AB31" t="s" s="15">
        <v>39</v>
      </c>
      <c r="AC31" t="s" s="15">
        <v>40</v>
      </c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</row>
    <row r="32" ht="13.55" customHeight="1">
      <c r="A32" t="s" s="13">
        <f t="shared" si="488" ref="A32:B32">"02947"</f>
        <v>154</v>
      </c>
      <c r="B32" t="s" s="13">
        <f t="shared" si="488"/>
        <v>154</v>
      </c>
      <c r="C32" t="s" s="13">
        <f t="shared" si="11"/>
        <v>27</v>
      </c>
      <c r="D32" t="s" s="13">
        <f>"NYE Justine DAGHA"</f>
        <v>155</v>
      </c>
      <c r="E32" t="s" s="13">
        <f t="shared" si="61"/>
      </c>
      <c r="F32" s="14">
        <v>34654</v>
      </c>
      <c r="G32" s="14">
        <v>44853</v>
      </c>
      <c r="H32" t="s" s="13">
        <f t="shared" si="14"/>
        <v>30</v>
      </c>
      <c r="I32" t="s" s="13">
        <v>31</v>
      </c>
      <c r="J32" t="s" s="13">
        <f t="shared" si="15"/>
        <v>32</v>
      </c>
      <c r="K32" t="s" s="13">
        <f t="shared" si="16"/>
        <v>33</v>
      </c>
      <c r="L32" t="s" s="15">
        <v>34</v>
      </c>
      <c r="M32" t="s" s="13">
        <v>31</v>
      </c>
      <c r="N32" t="s" s="13">
        <v>99</v>
      </c>
      <c r="O32" t="s" s="13">
        <v>36</v>
      </c>
      <c r="P32" s="16">
        <f>G32</f>
        <v>44853</v>
      </c>
      <c r="Q32" s="16">
        <f>P32+364</f>
        <v>45217</v>
      </c>
      <c r="R32" s="16">
        <f>Q32+1</f>
        <v>45218</v>
      </c>
      <c r="S32" s="16">
        <f>R32+29</f>
        <v>45247</v>
      </c>
      <c r="T32" s="17">
        <v>30</v>
      </c>
      <c r="U32" s="18">
        <v>0</v>
      </c>
      <c r="V32" s="18">
        <f>T32-U32</f>
        <v>30</v>
      </c>
      <c r="W32" s="16">
        <f>R32+V32</f>
        <v>45248</v>
      </c>
      <c r="X32" s="16">
        <f>S32+1</f>
        <v>45248</v>
      </c>
      <c r="Y32" s="16">
        <f>X32+365</f>
        <v>45613</v>
      </c>
      <c r="Z32" t="s" s="19">
        <v>37</v>
      </c>
      <c r="AA32" t="s" s="15">
        <v>38</v>
      </c>
      <c r="AB32" t="s" s="15">
        <v>39</v>
      </c>
      <c r="AC32" t="s" s="15">
        <v>40</v>
      </c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</row>
    <row r="33" ht="13.55" customHeight="1">
      <c r="A33" t="s" s="13">
        <f t="shared" si="504" ref="A33:B33">"02948"</f>
        <v>156</v>
      </c>
      <c r="B33" t="s" s="13">
        <f t="shared" si="504"/>
        <v>156</v>
      </c>
      <c r="C33" t="s" s="13">
        <f t="shared" si="11"/>
        <v>27</v>
      </c>
      <c r="D33" t="s" s="13">
        <f>"NDZANA"</f>
        <v>157</v>
      </c>
      <c r="E33" t="s" s="13">
        <f>"Maxime Brice"</f>
        <v>158</v>
      </c>
      <c r="F33" s="14">
        <v>32165</v>
      </c>
      <c r="G33" s="14">
        <v>44853</v>
      </c>
      <c r="H33" t="s" s="13">
        <f t="shared" si="14"/>
        <v>30</v>
      </c>
      <c r="I33" t="s" s="13">
        <v>31</v>
      </c>
      <c r="J33" t="s" s="13">
        <f t="shared" si="15"/>
        <v>32</v>
      </c>
      <c r="K33" t="s" s="13">
        <f t="shared" si="16"/>
        <v>33</v>
      </c>
      <c r="L33" t="s" s="15">
        <v>34</v>
      </c>
      <c r="M33" t="s" s="13">
        <v>31</v>
      </c>
      <c r="N33" t="s" s="13">
        <v>99</v>
      </c>
      <c r="O33" t="s" s="13">
        <v>36</v>
      </c>
      <c r="P33" s="16">
        <f>G33</f>
        <v>44853</v>
      </c>
      <c r="Q33" s="16">
        <f>P33+364</f>
        <v>45217</v>
      </c>
      <c r="R33" s="16">
        <f>Q33+1</f>
        <v>45218</v>
      </c>
      <c r="S33" s="16">
        <f>R33+29</f>
        <v>45247</v>
      </c>
      <c r="T33" s="17">
        <v>30</v>
      </c>
      <c r="U33" s="18">
        <v>0</v>
      </c>
      <c r="V33" s="18">
        <f>T33-U33</f>
        <v>30</v>
      </c>
      <c r="W33" s="16">
        <f>R33+V33</f>
        <v>45248</v>
      </c>
      <c r="X33" s="16">
        <f>S33+1</f>
        <v>45248</v>
      </c>
      <c r="Y33" s="16">
        <f>X33+365</f>
        <v>45613</v>
      </c>
      <c r="Z33" t="s" s="19">
        <v>37</v>
      </c>
      <c r="AA33" t="s" s="15">
        <v>44</v>
      </c>
      <c r="AB33" t="s" s="15">
        <v>45</v>
      </c>
      <c r="AC33" t="s" s="15">
        <v>40</v>
      </c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</row>
    <row r="34" ht="13.55" customHeight="1">
      <c r="A34" t="s" s="13">
        <f t="shared" si="520" ref="A34:B34">"02949"</f>
        <v>159</v>
      </c>
      <c r="B34" t="s" s="13">
        <f t="shared" si="520"/>
        <v>159</v>
      </c>
      <c r="C34" t="s" s="13">
        <f t="shared" si="11"/>
        <v>27</v>
      </c>
      <c r="D34" t="s" s="13">
        <f>"FRU JEVAS NDE"</f>
        <v>160</v>
      </c>
      <c r="E34" t="s" s="13">
        <f t="shared" si="61"/>
      </c>
      <c r="F34" s="14">
        <v>32298</v>
      </c>
      <c r="G34" s="14">
        <v>44852</v>
      </c>
      <c r="H34" t="s" s="13">
        <f t="shared" si="14"/>
        <v>30</v>
      </c>
      <c r="I34" t="s" s="13">
        <v>31</v>
      </c>
      <c r="J34" t="s" s="13">
        <f t="shared" si="15"/>
        <v>32</v>
      </c>
      <c r="K34" t="s" s="13">
        <f t="shared" si="16"/>
        <v>33</v>
      </c>
      <c r="L34" t="s" s="15">
        <v>34</v>
      </c>
      <c r="M34" t="s" s="13">
        <v>31</v>
      </c>
      <c r="N34" t="s" s="13">
        <v>99</v>
      </c>
      <c r="O34" t="s" s="13">
        <v>36</v>
      </c>
      <c r="P34" s="16">
        <f>G34</f>
        <v>44852</v>
      </c>
      <c r="Q34" s="16">
        <f>P34+364</f>
        <v>45216</v>
      </c>
      <c r="R34" s="16">
        <f>Q34+1</f>
        <v>45217</v>
      </c>
      <c r="S34" s="16">
        <f>R34+29</f>
        <v>45246</v>
      </c>
      <c r="T34" s="17">
        <v>30</v>
      </c>
      <c r="U34" s="18">
        <v>0</v>
      </c>
      <c r="V34" s="18">
        <f>T34-U34</f>
        <v>30</v>
      </c>
      <c r="W34" s="16">
        <f>R34+V34</f>
        <v>45247</v>
      </c>
      <c r="X34" s="16">
        <f>S34+1</f>
        <v>45247</v>
      </c>
      <c r="Y34" s="16">
        <f>X34+365</f>
        <v>45612</v>
      </c>
      <c r="Z34" t="s" s="19">
        <v>37</v>
      </c>
      <c r="AA34" t="s" s="15">
        <v>38</v>
      </c>
      <c r="AB34" t="s" s="15">
        <v>39</v>
      </c>
      <c r="AC34" t="s" s="15">
        <v>40</v>
      </c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</row>
    <row r="35" ht="13.55" customHeight="1">
      <c r="A35" t="s" s="13">
        <f t="shared" si="536" ref="A35:B35">"02950"</f>
        <v>161</v>
      </c>
      <c r="B35" t="s" s="13">
        <f t="shared" si="536"/>
        <v>161</v>
      </c>
      <c r="C35" t="s" s="13">
        <f t="shared" si="11"/>
        <v>27</v>
      </c>
      <c r="D35" t="s" s="13">
        <f>"EYEBE NDZANA"</f>
        <v>162</v>
      </c>
      <c r="E35" t="s" s="13">
        <f>"Benoît"</f>
        <v>163</v>
      </c>
      <c r="F35" s="14">
        <v>33088</v>
      </c>
      <c r="G35" s="14">
        <v>44893</v>
      </c>
      <c r="H35" t="s" s="13">
        <f t="shared" si="14"/>
        <v>30</v>
      </c>
      <c r="I35" t="s" s="13">
        <v>56</v>
      </c>
      <c r="J35" t="s" s="13">
        <f t="shared" si="15"/>
        <v>32</v>
      </c>
      <c r="K35" t="s" s="13">
        <f t="shared" si="96"/>
        <v>58</v>
      </c>
      <c r="L35" t="s" s="15">
        <v>59</v>
      </c>
      <c r="M35" t="s" s="13">
        <v>56</v>
      </c>
      <c r="N35" t="s" s="13">
        <v>35</v>
      </c>
      <c r="O35" t="s" s="13">
        <v>36</v>
      </c>
      <c r="P35" s="16">
        <f>G35</f>
        <v>44893</v>
      </c>
      <c r="Q35" s="16">
        <f>P35+364</f>
        <v>45257</v>
      </c>
      <c r="R35" s="16">
        <f>Q35+1</f>
        <v>45258</v>
      </c>
      <c r="S35" s="16">
        <f>R35+29</f>
        <v>45287</v>
      </c>
      <c r="T35" s="17">
        <v>30</v>
      </c>
      <c r="U35" s="18">
        <v>0</v>
      </c>
      <c r="V35" s="18">
        <f>T35-U35</f>
        <v>30</v>
      </c>
      <c r="W35" s="16">
        <f>R35+V35</f>
        <v>45288</v>
      </c>
      <c r="X35" s="16">
        <f>S35+1</f>
        <v>45288</v>
      </c>
      <c r="Y35" s="16">
        <f>X35+365</f>
        <v>45653</v>
      </c>
      <c r="Z35" t="s" s="19">
        <v>37</v>
      </c>
      <c r="AA35" t="s" s="15">
        <v>44</v>
      </c>
      <c r="AB35" t="s" s="15">
        <v>45</v>
      </c>
      <c r="AC35" t="s" s="15">
        <v>61</v>
      </c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</row>
    <row r="36" ht="13.55" customHeight="1">
      <c r="A36" t="s" s="13">
        <f t="shared" si="552" ref="A36:B36">"02951"</f>
        <v>164</v>
      </c>
      <c r="B36" t="s" s="13">
        <f t="shared" si="552"/>
        <v>164</v>
      </c>
      <c r="C36" t="s" s="13">
        <f t="shared" si="11"/>
        <v>27</v>
      </c>
      <c r="D36" t="s" s="13">
        <f>"NDANG A GOUFAN"</f>
        <v>165</v>
      </c>
      <c r="E36" t="s" s="13">
        <f>"Pierre Taguy"</f>
        <v>166</v>
      </c>
      <c r="F36" s="14">
        <v>33677</v>
      </c>
      <c r="G36" s="14">
        <v>44893</v>
      </c>
      <c r="H36" t="s" s="13">
        <f t="shared" si="14"/>
        <v>30</v>
      </c>
      <c r="I36" t="s" s="13">
        <v>56</v>
      </c>
      <c r="J36" t="s" s="13">
        <f t="shared" si="15"/>
        <v>32</v>
      </c>
      <c r="K36" t="s" s="13">
        <f t="shared" si="96"/>
        <v>58</v>
      </c>
      <c r="L36" t="s" s="15">
        <v>59</v>
      </c>
      <c r="M36" t="s" s="13">
        <v>56</v>
      </c>
      <c r="N36" t="s" s="13">
        <v>35</v>
      </c>
      <c r="O36" t="s" s="13">
        <v>36</v>
      </c>
      <c r="P36" s="16">
        <f>G36</f>
        <v>44893</v>
      </c>
      <c r="Q36" s="16">
        <f>P36+364</f>
        <v>45257</v>
      </c>
      <c r="R36" s="16">
        <f>Q36+1</f>
        <v>45258</v>
      </c>
      <c r="S36" s="16">
        <f>R36+29</f>
        <v>45287</v>
      </c>
      <c r="T36" s="17">
        <v>30</v>
      </c>
      <c r="U36" s="18">
        <v>0</v>
      </c>
      <c r="V36" s="18">
        <f>T36-U36</f>
        <v>30</v>
      </c>
      <c r="W36" s="16">
        <f>R36+V36</f>
        <v>45288</v>
      </c>
      <c r="X36" s="16">
        <f>S36+1</f>
        <v>45288</v>
      </c>
      <c r="Y36" s="16">
        <f>X36+365</f>
        <v>45653</v>
      </c>
      <c r="Z36" t="s" s="19">
        <v>37</v>
      </c>
      <c r="AA36" t="s" s="15">
        <v>44</v>
      </c>
      <c r="AB36" t="s" s="15">
        <v>45</v>
      </c>
      <c r="AC36" t="s" s="15">
        <v>61</v>
      </c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</row>
    <row r="37" ht="13.55" customHeight="1">
      <c r="A37" t="s" s="13">
        <f t="shared" si="568" ref="A37:B37">"02952"</f>
        <v>167</v>
      </c>
      <c r="B37" t="s" s="13">
        <f t="shared" si="568"/>
        <v>167</v>
      </c>
      <c r="C37" t="s" s="13">
        <f t="shared" si="11"/>
        <v>27</v>
      </c>
      <c r="D37" t="s" s="13">
        <f>"MOHAMAD USIDINE"</f>
        <v>168</v>
      </c>
      <c r="E37" t="s" s="13">
        <f t="shared" si="61"/>
      </c>
      <c r="F37" s="14">
        <v>36020</v>
      </c>
      <c r="G37" s="14">
        <v>44895</v>
      </c>
      <c r="H37" t="s" s="13">
        <f t="shared" si="14"/>
        <v>30</v>
      </c>
      <c r="I37" t="s" s="13">
        <v>56</v>
      </c>
      <c r="J37" t="s" s="13">
        <f t="shared" si="15"/>
        <v>32</v>
      </c>
      <c r="K37" t="s" s="13">
        <f t="shared" si="96"/>
        <v>58</v>
      </c>
      <c r="L37" t="s" s="15">
        <v>59</v>
      </c>
      <c r="M37" t="s" s="13">
        <v>56</v>
      </c>
      <c r="N37" t="s" s="13">
        <v>35</v>
      </c>
      <c r="O37" t="s" s="13">
        <v>36</v>
      </c>
      <c r="P37" s="16">
        <f>G37</f>
        <v>44895</v>
      </c>
      <c r="Q37" s="16">
        <f>P37+364</f>
        <v>45259</v>
      </c>
      <c r="R37" s="16">
        <f>Q37+1</f>
        <v>45260</v>
      </c>
      <c r="S37" s="16">
        <f>R37+29</f>
        <v>45289</v>
      </c>
      <c r="T37" s="17">
        <v>30</v>
      </c>
      <c r="U37" s="18">
        <v>0</v>
      </c>
      <c r="V37" s="18">
        <f>T37-U37</f>
        <v>30</v>
      </c>
      <c r="W37" s="16">
        <f>R37+V37</f>
        <v>45290</v>
      </c>
      <c r="X37" s="16">
        <f>S37+1</f>
        <v>45290</v>
      </c>
      <c r="Y37" s="16">
        <f>X37+365</f>
        <v>45655</v>
      </c>
      <c r="Z37" t="s" s="19">
        <v>37</v>
      </c>
      <c r="AA37" t="s" s="15">
        <v>44</v>
      </c>
      <c r="AB37" t="s" s="15">
        <v>45</v>
      </c>
      <c r="AC37" t="s" s="15">
        <v>61</v>
      </c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</row>
    <row r="38" ht="13.55" customHeight="1">
      <c r="A38" t="s" s="13">
        <f t="shared" si="584" ref="A38:B38">"02953"</f>
        <v>169</v>
      </c>
      <c r="B38" t="s" s="13">
        <f t="shared" si="584"/>
        <v>169</v>
      </c>
      <c r="C38" t="s" s="13">
        <f t="shared" si="11"/>
        <v>27</v>
      </c>
      <c r="D38" t="s" s="13">
        <f>"VOKENG VOKENG"</f>
        <v>170</v>
      </c>
      <c r="E38" t="s" s="13">
        <f>"Roni Stève"</f>
        <v>171</v>
      </c>
      <c r="F38" s="14">
        <v>34354</v>
      </c>
      <c r="G38" s="14">
        <v>44893</v>
      </c>
      <c r="H38" t="s" s="13">
        <v>93</v>
      </c>
      <c r="I38" t="s" s="13">
        <v>172</v>
      </c>
      <c r="J38" t="s" s="13">
        <f t="shared" si="15"/>
        <v>32</v>
      </c>
      <c r="K38" t="s" s="13">
        <f t="shared" si="96"/>
        <v>58</v>
      </c>
      <c r="L38" t="s" s="15">
        <v>173</v>
      </c>
      <c r="M38" t="s" s="13">
        <v>172</v>
      </c>
      <c r="N38" t="s" s="13">
        <v>35</v>
      </c>
      <c r="O38" t="s" s="13">
        <v>36</v>
      </c>
      <c r="P38" s="16">
        <f>G38</f>
        <v>44893</v>
      </c>
      <c r="Q38" s="16">
        <f>P38+364</f>
        <v>45257</v>
      </c>
      <c r="R38" s="16">
        <f>Q38+1</f>
        <v>45258</v>
      </c>
      <c r="S38" s="16">
        <f>R38+29</f>
        <v>45287</v>
      </c>
      <c r="T38" s="17">
        <v>30</v>
      </c>
      <c r="U38" s="18">
        <v>0</v>
      </c>
      <c r="V38" s="18">
        <f>T38-U38</f>
        <v>30</v>
      </c>
      <c r="W38" s="16">
        <f>R38+V38</f>
        <v>45288</v>
      </c>
      <c r="X38" s="16">
        <f>S38+1</f>
        <v>45288</v>
      </c>
      <c r="Y38" s="16">
        <f>X38+365</f>
        <v>45653</v>
      </c>
      <c r="Z38" t="s" s="19">
        <v>37</v>
      </c>
      <c r="AA38" t="s" s="15">
        <v>44</v>
      </c>
      <c r="AB38" t="s" s="15">
        <v>45</v>
      </c>
      <c r="AC38" t="s" s="15">
        <v>174</v>
      </c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</row>
    <row r="39" ht="13.55" customHeight="1">
      <c r="A39" t="s" s="13">
        <f t="shared" si="599" ref="A39:B39">"02954"</f>
        <v>175</v>
      </c>
      <c r="B39" t="s" s="13">
        <f t="shared" si="599"/>
        <v>175</v>
      </c>
      <c r="C39" t="s" s="13">
        <f t="shared" si="11"/>
        <v>27</v>
      </c>
      <c r="D39" t="s" s="13">
        <f>"EMBOLO"</f>
        <v>176</v>
      </c>
      <c r="E39" t="s" s="13">
        <f>"Adolphe Itler"</f>
        <v>177</v>
      </c>
      <c r="F39" s="14">
        <v>33042</v>
      </c>
      <c r="G39" s="14">
        <v>44893</v>
      </c>
      <c r="H39" t="s" s="13">
        <f t="shared" si="14"/>
        <v>30</v>
      </c>
      <c r="I39" t="s" s="13">
        <v>56</v>
      </c>
      <c r="J39" t="s" s="13">
        <f t="shared" si="15"/>
        <v>32</v>
      </c>
      <c r="K39" t="s" s="13">
        <f t="shared" si="96"/>
        <v>58</v>
      </c>
      <c r="L39" t="s" s="15">
        <v>59</v>
      </c>
      <c r="M39" t="s" s="13">
        <v>56</v>
      </c>
      <c r="N39" t="s" s="13">
        <v>35</v>
      </c>
      <c r="O39" t="s" s="13">
        <v>36</v>
      </c>
      <c r="P39" s="16">
        <f>G39</f>
        <v>44893</v>
      </c>
      <c r="Q39" s="16">
        <f>P39+364</f>
        <v>45257</v>
      </c>
      <c r="R39" s="16">
        <f>Q39+1</f>
        <v>45258</v>
      </c>
      <c r="S39" s="16">
        <f>R39+29</f>
        <v>45287</v>
      </c>
      <c r="T39" s="17">
        <v>30</v>
      </c>
      <c r="U39" s="18">
        <v>0</v>
      </c>
      <c r="V39" s="18">
        <f>T39-U39</f>
        <v>30</v>
      </c>
      <c r="W39" s="16">
        <f>R39+V39</f>
        <v>45288</v>
      </c>
      <c r="X39" s="16">
        <f>S39+1</f>
        <v>45288</v>
      </c>
      <c r="Y39" s="16">
        <f>X39+365</f>
        <v>45653</v>
      </c>
      <c r="Z39" t="s" s="19">
        <v>37</v>
      </c>
      <c r="AA39" t="s" s="15">
        <v>44</v>
      </c>
      <c r="AB39" t="s" s="15">
        <v>45</v>
      </c>
      <c r="AC39" t="s" s="15">
        <v>61</v>
      </c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</row>
    <row r="40" ht="13.55" customHeight="1">
      <c r="A40" t="s" s="13">
        <f t="shared" si="615" ref="A40:B40">"02955"</f>
        <v>178</v>
      </c>
      <c r="B40" t="s" s="13">
        <f t="shared" si="615"/>
        <v>178</v>
      </c>
      <c r="C40" t="s" s="13">
        <f t="shared" si="11"/>
        <v>27</v>
      </c>
      <c r="D40" t="s" s="13">
        <f>"AHMADOU ADAMU IBRAHIM"</f>
        <v>179</v>
      </c>
      <c r="E40" t="s" s="13">
        <f t="shared" si="61"/>
      </c>
      <c r="F40" s="14">
        <v>33642</v>
      </c>
      <c r="G40" s="14">
        <v>44887</v>
      </c>
      <c r="H40" t="s" s="13">
        <f t="shared" si="14"/>
        <v>30</v>
      </c>
      <c r="I40" t="s" s="13">
        <v>180</v>
      </c>
      <c r="J40" t="s" s="13">
        <f t="shared" si="15"/>
        <v>32</v>
      </c>
      <c r="K40" t="s" s="13">
        <f t="shared" si="96"/>
        <v>58</v>
      </c>
      <c r="L40" t="s" s="15">
        <v>181</v>
      </c>
      <c r="M40" t="s" s="13">
        <v>180</v>
      </c>
      <c r="N40" t="s" s="13">
        <v>35</v>
      </c>
      <c r="O40" t="s" s="13">
        <v>83</v>
      </c>
      <c r="P40" s="16">
        <f>G40</f>
        <v>44887</v>
      </c>
      <c r="Q40" s="16">
        <f>P40+364</f>
        <v>45251</v>
      </c>
      <c r="R40" s="16">
        <f>Q40+1</f>
        <v>45252</v>
      </c>
      <c r="S40" s="16">
        <f>R40+29</f>
        <v>45281</v>
      </c>
      <c r="T40" s="17">
        <v>30</v>
      </c>
      <c r="U40" s="18">
        <v>0</v>
      </c>
      <c r="V40" s="18">
        <f>T40-U40</f>
        <v>30</v>
      </c>
      <c r="W40" s="16">
        <f>R40+V40</f>
        <v>45282</v>
      </c>
      <c r="X40" s="16">
        <f>S40+1</f>
        <v>45282</v>
      </c>
      <c r="Y40" s="16">
        <f>X40+365</f>
        <v>45647</v>
      </c>
      <c r="Z40" t="s" s="19">
        <v>37</v>
      </c>
      <c r="AA40" t="s" s="15">
        <v>44</v>
      </c>
      <c r="AB40" t="s" s="15">
        <v>45</v>
      </c>
      <c r="AC40" t="s" s="15">
        <v>182</v>
      </c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</row>
    <row r="41" ht="13.55" customHeight="1">
      <c r="A41" t="s" s="13">
        <f t="shared" si="631" ref="A41:B41">"02956"</f>
        <v>183</v>
      </c>
      <c r="B41" t="s" s="13">
        <f t="shared" si="631"/>
        <v>183</v>
      </c>
      <c r="C41" t="s" s="13">
        <f t="shared" si="107"/>
        <v>63</v>
      </c>
      <c r="D41" t="s" s="13">
        <f>"RUKAIYATOU IBRAHIM BAGOBIRI"</f>
        <v>184</v>
      </c>
      <c r="E41" t="s" s="13">
        <f t="shared" si="61"/>
      </c>
      <c r="F41" s="14">
        <v>33619</v>
      </c>
      <c r="G41" s="14">
        <v>44873</v>
      </c>
      <c r="H41" t="s" s="13">
        <f t="shared" si="14"/>
        <v>30</v>
      </c>
      <c r="I41" t="s" s="13">
        <v>31</v>
      </c>
      <c r="J41" t="s" s="13">
        <f t="shared" si="159"/>
        <v>82</v>
      </c>
      <c r="K41" t="s" s="13">
        <f t="shared" si="16"/>
        <v>33</v>
      </c>
      <c r="L41" t="s" s="15">
        <v>34</v>
      </c>
      <c r="M41" t="s" s="13">
        <v>31</v>
      </c>
      <c r="N41" t="s" s="13">
        <v>35</v>
      </c>
      <c r="O41" t="s" s="13">
        <v>83</v>
      </c>
      <c r="P41" s="16">
        <f>G41</f>
        <v>44873</v>
      </c>
      <c r="Q41" s="16">
        <f>P41+364</f>
        <v>45237</v>
      </c>
      <c r="R41" s="16">
        <f>Q41+1</f>
        <v>45238</v>
      </c>
      <c r="S41" s="16">
        <f>R41+29</f>
        <v>45267</v>
      </c>
      <c r="T41" s="17">
        <v>30</v>
      </c>
      <c r="U41" s="18">
        <v>0</v>
      </c>
      <c r="V41" s="18">
        <f>T41-U41</f>
        <v>30</v>
      </c>
      <c r="W41" s="16">
        <f>R41+V41</f>
        <v>45268</v>
      </c>
      <c r="X41" s="16">
        <f>S41+1</f>
        <v>45268</v>
      </c>
      <c r="Y41" s="16">
        <f>X41+365</f>
        <v>45633</v>
      </c>
      <c r="Z41" t="s" s="19">
        <v>37</v>
      </c>
      <c r="AA41" t="s" s="15">
        <v>44</v>
      </c>
      <c r="AB41" t="s" s="15">
        <v>45</v>
      </c>
      <c r="AC41" t="s" s="15">
        <v>40</v>
      </c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</row>
    <row r="42" ht="13.55" customHeight="1">
      <c r="A42" t="s" s="13">
        <f t="shared" si="647" ref="A42:B42">"02957"</f>
        <v>185</v>
      </c>
      <c r="B42" t="s" s="13">
        <f t="shared" si="647"/>
        <v>185</v>
      </c>
      <c r="C42" t="s" s="13">
        <f t="shared" si="11"/>
        <v>27</v>
      </c>
      <c r="D42" t="s" s="13">
        <f>"CHE Hilary CHE"</f>
        <v>186</v>
      </c>
      <c r="E42" t="s" s="13">
        <f t="shared" si="61"/>
      </c>
      <c r="F42" s="14">
        <v>35289</v>
      </c>
      <c r="G42" s="14">
        <v>44887</v>
      </c>
      <c r="H42" t="s" s="13">
        <f t="shared" si="14"/>
        <v>30</v>
      </c>
      <c r="I42" t="s" s="13">
        <v>180</v>
      </c>
      <c r="J42" t="s" s="13">
        <f t="shared" si="15"/>
        <v>32</v>
      </c>
      <c r="K42" t="s" s="13">
        <f t="shared" si="96"/>
        <v>58</v>
      </c>
      <c r="L42" t="s" s="15">
        <v>181</v>
      </c>
      <c r="M42" t="s" s="13">
        <v>180</v>
      </c>
      <c r="N42" t="s" s="13">
        <v>35</v>
      </c>
      <c r="O42" t="s" s="13">
        <v>83</v>
      </c>
      <c r="P42" s="16">
        <f>G42</f>
        <v>44887</v>
      </c>
      <c r="Q42" s="16">
        <f>P42+364</f>
        <v>45251</v>
      </c>
      <c r="R42" s="16">
        <f>Q42+1</f>
        <v>45252</v>
      </c>
      <c r="S42" s="16">
        <f>R42+29</f>
        <v>45281</v>
      </c>
      <c r="T42" s="17">
        <v>30</v>
      </c>
      <c r="U42" s="18">
        <v>0</v>
      </c>
      <c r="V42" s="18">
        <f>T42-U42</f>
        <v>30</v>
      </c>
      <c r="W42" s="16">
        <f>R42+V42</f>
        <v>45282</v>
      </c>
      <c r="X42" s="16">
        <f>S42+1</f>
        <v>45282</v>
      </c>
      <c r="Y42" s="16">
        <f>X42+365</f>
        <v>45647</v>
      </c>
      <c r="Z42" t="s" s="19">
        <v>37</v>
      </c>
      <c r="AA42" t="s" s="15">
        <v>44</v>
      </c>
      <c r="AB42" t="s" s="15">
        <v>45</v>
      </c>
      <c r="AC42" t="s" s="15">
        <v>182</v>
      </c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</row>
    <row r="43" ht="13.55" customHeight="1">
      <c r="A43" t="s" s="13">
        <f t="shared" si="663" ref="A43:B43">"02958"</f>
        <v>187</v>
      </c>
      <c r="B43" t="s" s="13">
        <f t="shared" si="663"/>
        <v>187</v>
      </c>
      <c r="C43" t="s" s="13">
        <f t="shared" si="11"/>
        <v>27</v>
      </c>
      <c r="D43" t="s" s="13">
        <f>"ASSEMBE NDI"</f>
        <v>188</v>
      </c>
      <c r="E43" t="s" s="13">
        <f>"Henri Dimitry"</f>
        <v>189</v>
      </c>
      <c r="F43" s="14">
        <v>36801</v>
      </c>
      <c r="G43" s="14">
        <v>44895</v>
      </c>
      <c r="H43" t="s" s="13">
        <f t="shared" si="14"/>
        <v>30</v>
      </c>
      <c r="I43" t="s" s="13">
        <v>31</v>
      </c>
      <c r="J43" t="s" s="13">
        <f t="shared" si="159"/>
        <v>82</v>
      </c>
      <c r="K43" t="s" s="13">
        <f t="shared" si="16"/>
        <v>33</v>
      </c>
      <c r="L43" t="s" s="15">
        <v>34</v>
      </c>
      <c r="M43" t="s" s="13">
        <v>31</v>
      </c>
      <c r="N43" t="s" s="13">
        <v>35</v>
      </c>
      <c r="O43" t="s" s="13">
        <v>83</v>
      </c>
      <c r="P43" s="16">
        <f>G43</f>
        <v>44895</v>
      </c>
      <c r="Q43" s="16">
        <f>P43+364</f>
        <v>45259</v>
      </c>
      <c r="R43" s="16">
        <f>Q43+1</f>
        <v>45260</v>
      </c>
      <c r="S43" s="16">
        <f>R43+29</f>
        <v>45289</v>
      </c>
      <c r="T43" s="17">
        <v>30</v>
      </c>
      <c r="U43" s="18">
        <v>0</v>
      </c>
      <c r="V43" s="18">
        <f>T43-U43</f>
        <v>30</v>
      </c>
      <c r="W43" s="16">
        <f>R43+V43</f>
        <v>45290</v>
      </c>
      <c r="X43" s="16">
        <f>S43+1</f>
        <v>45290</v>
      </c>
      <c r="Y43" s="16">
        <f>X43+365</f>
        <v>45655</v>
      </c>
      <c r="Z43" t="s" s="19">
        <v>37</v>
      </c>
      <c r="AA43" t="s" s="15">
        <v>44</v>
      </c>
      <c r="AB43" t="s" s="15">
        <v>45</v>
      </c>
      <c r="AC43" t="s" s="15">
        <v>40</v>
      </c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</row>
    <row r="44" ht="13.55" customHeight="1">
      <c r="A44" t="s" s="13">
        <f t="shared" si="679" ref="A44:B44">"02959"</f>
        <v>190</v>
      </c>
      <c r="B44" t="s" s="13">
        <f t="shared" si="679"/>
        <v>190</v>
      </c>
      <c r="C44" t="s" s="13">
        <f t="shared" si="11"/>
        <v>27</v>
      </c>
      <c r="D44" t="s" s="13">
        <f>"ANYANGWE ATIENGI"</f>
        <v>191</v>
      </c>
      <c r="E44" t="s" s="13">
        <f>"Yann"</f>
        <v>192</v>
      </c>
      <c r="F44" s="14">
        <v>31862</v>
      </c>
      <c r="G44" s="14">
        <v>44887</v>
      </c>
      <c r="H44" t="s" s="13">
        <f t="shared" si="14"/>
        <v>30</v>
      </c>
      <c r="I44" t="s" s="13">
        <v>180</v>
      </c>
      <c r="J44" t="s" s="13">
        <f t="shared" si="15"/>
        <v>32</v>
      </c>
      <c r="K44" t="s" s="13">
        <f t="shared" si="96"/>
        <v>58</v>
      </c>
      <c r="L44" t="s" s="15">
        <v>181</v>
      </c>
      <c r="M44" t="s" s="13">
        <v>180</v>
      </c>
      <c r="N44" t="s" s="13">
        <v>35</v>
      </c>
      <c r="O44" t="s" s="13">
        <v>83</v>
      </c>
      <c r="P44" s="16">
        <f>G44</f>
        <v>44887</v>
      </c>
      <c r="Q44" s="16">
        <f>P44+364</f>
        <v>45251</v>
      </c>
      <c r="R44" s="16">
        <f>Q44+1</f>
        <v>45252</v>
      </c>
      <c r="S44" s="16">
        <f>R44+29</f>
        <v>45281</v>
      </c>
      <c r="T44" s="17">
        <v>30</v>
      </c>
      <c r="U44" s="18">
        <v>0</v>
      </c>
      <c r="V44" s="18">
        <f>T44-U44</f>
        <v>30</v>
      </c>
      <c r="W44" s="16">
        <f>R44+V44</f>
        <v>45282</v>
      </c>
      <c r="X44" s="16">
        <f>S44+1</f>
        <v>45282</v>
      </c>
      <c r="Y44" s="16">
        <f>X44+365</f>
        <v>45647</v>
      </c>
      <c r="Z44" t="s" s="19">
        <v>37</v>
      </c>
      <c r="AA44" t="s" s="15">
        <v>44</v>
      </c>
      <c r="AB44" t="s" s="15">
        <v>45</v>
      </c>
      <c r="AC44" t="s" s="15">
        <v>182</v>
      </c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</row>
    <row r="45" ht="13.55" customHeight="1">
      <c r="A45" t="s" s="13">
        <f t="shared" si="695" ref="A45:B45">"02960"</f>
        <v>193</v>
      </c>
      <c r="B45" t="s" s="13">
        <f t="shared" si="695"/>
        <v>193</v>
      </c>
      <c r="C45" t="s" s="13">
        <f t="shared" si="11"/>
        <v>27</v>
      </c>
      <c r="D45" t="s" s="13">
        <f>"BANGA ADZI"</f>
        <v>194</v>
      </c>
      <c r="E45" t="s" s="13">
        <f t="shared" si="699" ref="E45:E194">"Anicet"</f>
        <v>195</v>
      </c>
      <c r="F45" s="14">
        <v>32068</v>
      </c>
      <c r="G45" s="14">
        <v>44925</v>
      </c>
      <c r="H45" t="s" s="13">
        <f t="shared" si="14"/>
        <v>30</v>
      </c>
      <c r="I45" t="s" s="13">
        <v>74</v>
      </c>
      <c r="J45" t="s" s="13">
        <f>"Technicien Supérieur Génie Civ"</f>
        <v>196</v>
      </c>
      <c r="K45" t="s" s="13">
        <f>"DIRECTION DE LA MAINTENANCE"</f>
        <v>197</v>
      </c>
      <c r="L45" t="s" s="15">
        <v>198</v>
      </c>
      <c r="M45" t="s" s="13">
        <v>74</v>
      </c>
      <c r="N45" t="s" s="13">
        <v>199</v>
      </c>
      <c r="O45" t="s" s="13">
        <v>36</v>
      </c>
      <c r="P45" s="16">
        <f>G45</f>
        <v>44925</v>
      </c>
      <c r="Q45" s="16">
        <f>P45+364</f>
        <v>45289</v>
      </c>
      <c r="R45" s="16">
        <f>Q45+1</f>
        <v>45290</v>
      </c>
      <c r="S45" s="16">
        <f>R45+29</f>
        <v>45319</v>
      </c>
      <c r="T45" s="17">
        <v>30</v>
      </c>
      <c r="U45" s="18">
        <v>0</v>
      </c>
      <c r="V45" s="18">
        <f>T45-U45</f>
        <v>30</v>
      </c>
      <c r="W45" s="16">
        <f>R45+V45</f>
        <v>45320</v>
      </c>
      <c r="X45" s="16">
        <f>S45+1</f>
        <v>45320</v>
      </c>
      <c r="Y45" s="16">
        <f>X45+365</f>
        <v>45685</v>
      </c>
      <c r="Z45" t="s" s="19">
        <v>37</v>
      </c>
      <c r="AA45" t="s" s="15">
        <v>44</v>
      </c>
      <c r="AB45" t="s" s="15">
        <v>45</v>
      </c>
      <c r="AC45" t="s" s="15">
        <v>61</v>
      </c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</row>
    <row r="46" ht="13.55" customHeight="1">
      <c r="A46" t="s" s="13">
        <f t="shared" si="711" ref="A46:B46">"02961"</f>
        <v>200</v>
      </c>
      <c r="B46" t="s" s="13">
        <f t="shared" si="711"/>
        <v>200</v>
      </c>
      <c r="C46" t="s" s="13">
        <f t="shared" si="11"/>
        <v>27</v>
      </c>
      <c r="D46" t="s" s="13">
        <f>"NGANDJONG"</f>
        <v>201</v>
      </c>
      <c r="E46" t="s" s="13">
        <f>"Samuel"</f>
        <v>202</v>
      </c>
      <c r="F46" s="14">
        <v>32701</v>
      </c>
      <c r="G46" s="14">
        <v>44907</v>
      </c>
      <c r="H46" t="s" s="13">
        <f t="shared" si="14"/>
        <v>30</v>
      </c>
      <c r="I46" t="s" s="13">
        <v>74</v>
      </c>
      <c r="J46" t="s" s="13">
        <f t="shared" si="717" ref="J46:J48">"Agent P.C.A."</f>
        <v>203</v>
      </c>
      <c r="K46" t="s" s="13">
        <f t="shared" si="144"/>
        <v>76</v>
      </c>
      <c r="L46" t="s" s="15">
        <v>77</v>
      </c>
      <c r="M46" t="s" s="13">
        <v>74</v>
      </c>
      <c r="N46" t="s" s="13">
        <v>70</v>
      </c>
      <c r="O46" t="s" s="13">
        <v>36</v>
      </c>
      <c r="P46" s="16">
        <f>G46</f>
        <v>44907</v>
      </c>
      <c r="Q46" s="16">
        <f>P46+364</f>
        <v>45271</v>
      </c>
      <c r="R46" s="16">
        <f>Q46+1</f>
        <v>45272</v>
      </c>
      <c r="S46" s="16">
        <f>R46+29</f>
        <v>45301</v>
      </c>
      <c r="T46" s="17">
        <v>30</v>
      </c>
      <c r="U46" s="18">
        <v>0</v>
      </c>
      <c r="V46" s="18">
        <f>T46-U46</f>
        <v>30</v>
      </c>
      <c r="W46" s="16">
        <f>R46+V46</f>
        <v>45302</v>
      </c>
      <c r="X46" s="16">
        <f>S46+1</f>
        <v>45302</v>
      </c>
      <c r="Y46" s="16">
        <f>X46+365</f>
        <v>45667</v>
      </c>
      <c r="Z46" t="s" s="19">
        <v>37</v>
      </c>
      <c r="AA46" t="s" s="15">
        <v>44</v>
      </c>
      <c r="AB46" t="s" s="15">
        <v>45</v>
      </c>
      <c r="AC46" t="s" s="15">
        <v>78</v>
      </c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</row>
    <row r="47" ht="13.55" customHeight="1">
      <c r="A47" t="s" s="13">
        <f t="shared" si="727" ref="A47:B47">"02962"</f>
        <v>204</v>
      </c>
      <c r="B47" t="s" s="13">
        <f t="shared" si="727"/>
        <v>204</v>
      </c>
      <c r="C47" t="s" s="13">
        <f t="shared" si="11"/>
        <v>27</v>
      </c>
      <c r="D47" t="s" s="13">
        <f>"Linus GWODOG LIKOBA"</f>
        <v>205</v>
      </c>
      <c r="E47" t="s" s="13">
        <f t="shared" si="61"/>
      </c>
      <c r="F47" s="14">
        <v>35705</v>
      </c>
      <c r="G47" s="14">
        <v>44925</v>
      </c>
      <c r="H47" t="s" s="13">
        <v>93</v>
      </c>
      <c r="I47" t="s" s="13">
        <v>31</v>
      </c>
      <c r="J47" t="s" s="13">
        <f>"Tech. Maint. Chaudron. Soudeur"</f>
        <v>206</v>
      </c>
      <c r="K47" t="s" s="13">
        <f t="shared" si="16"/>
        <v>33</v>
      </c>
      <c r="L47" t="s" s="15">
        <v>34</v>
      </c>
      <c r="M47" t="s" s="13">
        <v>31</v>
      </c>
      <c r="N47" t="s" s="13">
        <v>70</v>
      </c>
      <c r="O47" t="s" s="13">
        <v>36</v>
      </c>
      <c r="P47" s="16">
        <f>G47</f>
        <v>44925</v>
      </c>
      <c r="Q47" s="16">
        <f>P47+364</f>
        <v>45289</v>
      </c>
      <c r="R47" s="16">
        <f>Q47+1</f>
        <v>45290</v>
      </c>
      <c r="S47" s="16">
        <f>R47+29</f>
        <v>45319</v>
      </c>
      <c r="T47" s="17">
        <v>30</v>
      </c>
      <c r="U47" s="18">
        <v>0</v>
      </c>
      <c r="V47" s="18">
        <f>T47-U47</f>
        <v>30</v>
      </c>
      <c r="W47" s="16">
        <f>R47+V47</f>
        <v>45320</v>
      </c>
      <c r="X47" s="16">
        <f>S47+1</f>
        <v>45320</v>
      </c>
      <c r="Y47" s="16">
        <f>X47+365</f>
        <v>45685</v>
      </c>
      <c r="Z47" t="s" s="19">
        <v>37</v>
      </c>
      <c r="AA47" t="s" s="15">
        <v>44</v>
      </c>
      <c r="AB47" t="s" s="15">
        <v>45</v>
      </c>
      <c r="AC47" t="s" s="15">
        <v>40</v>
      </c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</row>
    <row r="48" ht="13.55" customHeight="1">
      <c r="A48" t="s" s="13">
        <f t="shared" si="742" ref="A48:B48">"02963"</f>
        <v>207</v>
      </c>
      <c r="B48" t="s" s="13">
        <f t="shared" si="742"/>
        <v>207</v>
      </c>
      <c r="C48" t="s" s="13">
        <f t="shared" si="11"/>
        <v>27</v>
      </c>
      <c r="D48" t="s" s="13">
        <f>"NAMA ETOA"</f>
        <v>208</v>
      </c>
      <c r="E48" t="s" s="13">
        <f>"Stéphane Tobie"</f>
        <v>209</v>
      </c>
      <c r="F48" s="14">
        <v>32366</v>
      </c>
      <c r="G48" s="14">
        <v>44911</v>
      </c>
      <c r="H48" t="s" s="13">
        <f t="shared" si="14"/>
        <v>30</v>
      </c>
      <c r="I48" t="s" s="13">
        <v>74</v>
      </c>
      <c r="J48" t="s" s="13">
        <f t="shared" si="717"/>
        <v>203</v>
      </c>
      <c r="K48" t="s" s="13">
        <f t="shared" si="144"/>
        <v>76</v>
      </c>
      <c r="L48" t="s" s="15">
        <v>77</v>
      </c>
      <c r="M48" t="s" s="13">
        <v>74</v>
      </c>
      <c r="N48" t="s" s="13">
        <v>70</v>
      </c>
      <c r="O48" t="s" s="13">
        <v>36</v>
      </c>
      <c r="P48" s="16">
        <f>G48</f>
        <v>44911</v>
      </c>
      <c r="Q48" s="16">
        <f>P48+364</f>
        <v>45275</v>
      </c>
      <c r="R48" s="16">
        <f>Q48+1</f>
        <v>45276</v>
      </c>
      <c r="S48" s="16">
        <f>R48+29</f>
        <v>45305</v>
      </c>
      <c r="T48" s="17">
        <v>30</v>
      </c>
      <c r="U48" s="18">
        <v>0</v>
      </c>
      <c r="V48" s="18">
        <f>T48-U48</f>
        <v>30</v>
      </c>
      <c r="W48" s="16">
        <f>R48+V48</f>
        <v>45306</v>
      </c>
      <c r="X48" s="16">
        <f>S48+1</f>
        <v>45306</v>
      </c>
      <c r="Y48" s="16">
        <f>X48+365</f>
        <v>45671</v>
      </c>
      <c r="Z48" t="s" s="19">
        <v>37</v>
      </c>
      <c r="AA48" t="s" s="15">
        <v>44</v>
      </c>
      <c r="AB48" t="s" s="15">
        <v>45</v>
      </c>
      <c r="AC48" t="s" s="15">
        <v>78</v>
      </c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</row>
    <row r="49" ht="13.55" customHeight="1">
      <c r="A49" t="s" s="13">
        <f t="shared" si="758" ref="A49:B49">"02964"</f>
        <v>210</v>
      </c>
      <c r="B49" t="s" s="13">
        <f t="shared" si="758"/>
        <v>210</v>
      </c>
      <c r="C49" t="s" s="13">
        <f t="shared" si="107"/>
        <v>63</v>
      </c>
      <c r="D49" t="s" s="13">
        <f>"NYANGONO MONAFAME"</f>
        <v>211</v>
      </c>
      <c r="E49" t="s" s="13">
        <f>"Ruth Raïssa"</f>
        <v>212</v>
      </c>
      <c r="F49" s="14">
        <v>36893</v>
      </c>
      <c r="G49" s="14">
        <v>44922</v>
      </c>
      <c r="H49" t="s" s="13">
        <f t="shared" si="14"/>
        <v>30</v>
      </c>
      <c r="I49" t="s" s="13">
        <v>31</v>
      </c>
      <c r="J49" t="s" s="13">
        <f t="shared" si="764" ref="J49:J138">"Hôtesse Relations Publiques"</f>
        <v>213</v>
      </c>
      <c r="K49" t="s" s="13">
        <f t="shared" si="16"/>
        <v>33</v>
      </c>
      <c r="L49" t="s" s="15">
        <v>34</v>
      </c>
      <c r="M49" t="s" s="13">
        <v>31</v>
      </c>
      <c r="N49" t="s" s="13">
        <v>70</v>
      </c>
      <c r="O49" t="s" s="13">
        <v>36</v>
      </c>
      <c r="P49" s="16">
        <f>G49</f>
        <v>44922</v>
      </c>
      <c r="Q49" s="16">
        <f>P49+364</f>
        <v>45286</v>
      </c>
      <c r="R49" s="16">
        <f>Q49+1</f>
        <v>45287</v>
      </c>
      <c r="S49" s="16">
        <f>R49+29</f>
        <v>45316</v>
      </c>
      <c r="T49" s="17">
        <v>30</v>
      </c>
      <c r="U49" s="18">
        <v>0</v>
      </c>
      <c r="V49" s="18">
        <f>T49-U49</f>
        <v>30</v>
      </c>
      <c r="W49" s="16">
        <f>R49+V49</f>
        <v>45317</v>
      </c>
      <c r="X49" s="16">
        <f>S49+1</f>
        <v>45317</v>
      </c>
      <c r="Y49" s="16">
        <f>X49+365</f>
        <v>45682</v>
      </c>
      <c r="Z49" t="s" s="19">
        <v>37</v>
      </c>
      <c r="AA49" t="s" s="15">
        <v>44</v>
      </c>
      <c r="AB49" t="s" s="15">
        <v>45</v>
      </c>
      <c r="AC49" t="s" s="15">
        <v>40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ht="13.55" customHeight="1">
      <c r="A50" t="s" s="13">
        <f t="shared" si="774" ref="A50:B50">"02965"</f>
        <v>214</v>
      </c>
      <c r="B50" t="s" s="13">
        <f t="shared" si="774"/>
        <v>214</v>
      </c>
      <c r="C50" t="s" s="13">
        <f t="shared" si="11"/>
        <v>27</v>
      </c>
      <c r="D50" t="s" s="13">
        <f>"ATANGANA NDI"</f>
        <v>215</v>
      </c>
      <c r="E50" t="s" s="13">
        <f>"Jean Magloire"</f>
        <v>216</v>
      </c>
      <c r="F50" s="14">
        <v>31804</v>
      </c>
      <c r="G50" s="14">
        <v>44939</v>
      </c>
      <c r="H50" t="s" s="13">
        <f t="shared" si="14"/>
        <v>30</v>
      </c>
      <c r="I50" t="s" s="13">
        <v>56</v>
      </c>
      <c r="J50" t="s" s="13">
        <f>"Technicien de Maint. Electrote"</f>
        <v>217</v>
      </c>
      <c r="K50" t="s" s="13">
        <f t="shared" si="96"/>
        <v>58</v>
      </c>
      <c r="L50" t="s" s="15">
        <v>59</v>
      </c>
      <c r="M50" t="s" s="13">
        <v>56</v>
      </c>
      <c r="N50" t="s" s="13">
        <v>70</v>
      </c>
      <c r="O50" t="s" s="13">
        <v>36</v>
      </c>
      <c r="P50" s="16">
        <f>G50</f>
        <v>44939</v>
      </c>
      <c r="Q50" s="16">
        <f>P50+364</f>
        <v>45303</v>
      </c>
      <c r="R50" s="16">
        <f>Q50+1</f>
        <v>45304</v>
      </c>
      <c r="S50" s="16">
        <f>R50+29</f>
        <v>45333</v>
      </c>
      <c r="T50" s="17">
        <v>30</v>
      </c>
      <c r="U50" s="18">
        <v>0</v>
      </c>
      <c r="V50" s="18">
        <f>T50-U50</f>
        <v>30</v>
      </c>
      <c r="W50" s="16">
        <f>R50+V50</f>
        <v>45334</v>
      </c>
      <c r="X50" s="16">
        <f>S50+1</f>
        <v>45334</v>
      </c>
      <c r="Y50" s="16">
        <f>X50+365</f>
        <v>45699</v>
      </c>
      <c r="Z50" t="s" s="19">
        <v>37</v>
      </c>
      <c r="AA50" t="s" s="15">
        <v>44</v>
      </c>
      <c r="AB50" t="s" s="15">
        <v>45</v>
      </c>
      <c r="AC50" t="s" s="15">
        <v>61</v>
      </c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</row>
    <row r="51" ht="13.55" customHeight="1">
      <c r="A51" t="s" s="13">
        <f t="shared" si="790" ref="A51:B51">"02966"</f>
        <v>218</v>
      </c>
      <c r="B51" t="s" s="13">
        <f t="shared" si="790"/>
        <v>218</v>
      </c>
      <c r="C51" t="s" s="13">
        <f t="shared" si="11"/>
        <v>27</v>
      </c>
      <c r="D51" t="s" s="13">
        <f>"NYEBE LEMANA"</f>
        <v>219</v>
      </c>
      <c r="E51" t="s" s="13">
        <f>"Firmin Alain"</f>
        <v>220</v>
      </c>
      <c r="F51" s="14">
        <v>30561</v>
      </c>
      <c r="G51" s="14">
        <v>44925</v>
      </c>
      <c r="H51" t="s" s="13">
        <f t="shared" si="14"/>
        <v>30</v>
      </c>
      <c r="I51" t="s" s="13">
        <v>221</v>
      </c>
      <c r="J51" t="s" s="13">
        <f t="shared" si="15"/>
        <v>32</v>
      </c>
      <c r="K51" t="s" s="13">
        <f t="shared" si="96"/>
        <v>58</v>
      </c>
      <c r="L51" t="s" s="15">
        <v>222</v>
      </c>
      <c r="M51" t="s" s="13">
        <v>221</v>
      </c>
      <c r="N51" t="s" s="13">
        <v>99</v>
      </c>
      <c r="O51" t="s" s="13">
        <v>36</v>
      </c>
      <c r="P51" s="16">
        <f>G51</f>
        <v>44925</v>
      </c>
      <c r="Q51" s="16">
        <f>P51+364</f>
        <v>45289</v>
      </c>
      <c r="R51" s="16">
        <f>Q51+1</f>
        <v>45290</v>
      </c>
      <c r="S51" s="16">
        <f>R51+29</f>
        <v>45319</v>
      </c>
      <c r="T51" s="17">
        <v>30</v>
      </c>
      <c r="U51" s="18">
        <v>0</v>
      </c>
      <c r="V51" s="18">
        <f>T51-U51</f>
        <v>30</v>
      </c>
      <c r="W51" s="16">
        <f>R51+V51</f>
        <v>45320</v>
      </c>
      <c r="X51" s="16">
        <f>S51+1</f>
        <v>45320</v>
      </c>
      <c r="Y51" s="16">
        <f>X51+365</f>
        <v>45685</v>
      </c>
      <c r="Z51" t="s" s="19">
        <v>37</v>
      </c>
      <c r="AA51" t="s" s="15">
        <v>44</v>
      </c>
      <c r="AB51" t="s" s="15">
        <v>45</v>
      </c>
      <c r="AC51" t="s" s="15">
        <v>223</v>
      </c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</row>
    <row r="52" ht="13.55" customHeight="1">
      <c r="A52" t="s" s="13">
        <f t="shared" si="806" ref="A52:B52">"02967"</f>
        <v>224</v>
      </c>
      <c r="B52" t="s" s="13">
        <f t="shared" si="806"/>
        <v>224</v>
      </c>
      <c r="C52" t="s" s="13">
        <f t="shared" si="11"/>
        <v>27</v>
      </c>
      <c r="D52" t="s" s="13">
        <f>"AKOUA TCHOUKEU"</f>
        <v>225</v>
      </c>
      <c r="E52" t="s" s="13">
        <f>"Christian Willy"</f>
        <v>226</v>
      </c>
      <c r="F52" s="14">
        <v>33189</v>
      </c>
      <c r="G52" s="14">
        <v>44922</v>
      </c>
      <c r="H52" t="s" s="13">
        <f t="shared" si="14"/>
        <v>30</v>
      </c>
      <c r="I52" t="s" s="13">
        <v>74</v>
      </c>
      <c r="J52" t="s" s="13">
        <f t="shared" si="143"/>
        <v>75</v>
      </c>
      <c r="K52" t="s" s="13">
        <f t="shared" si="144"/>
        <v>76</v>
      </c>
      <c r="L52" t="s" s="15">
        <v>77</v>
      </c>
      <c r="M52" t="s" s="13">
        <v>74</v>
      </c>
      <c r="N52" t="s" s="13">
        <v>70</v>
      </c>
      <c r="O52" t="s" s="13">
        <v>36</v>
      </c>
      <c r="P52" s="16">
        <f>G52</f>
        <v>44922</v>
      </c>
      <c r="Q52" s="16">
        <f>P52+364</f>
        <v>45286</v>
      </c>
      <c r="R52" s="16">
        <f>Q52+1</f>
        <v>45287</v>
      </c>
      <c r="S52" s="16">
        <f>R52+29</f>
        <v>45316</v>
      </c>
      <c r="T52" s="17">
        <v>30</v>
      </c>
      <c r="U52" s="18">
        <v>0</v>
      </c>
      <c r="V52" s="18">
        <f>T52-U52</f>
        <v>30</v>
      </c>
      <c r="W52" s="16">
        <f>R52+V52</f>
        <v>45317</v>
      </c>
      <c r="X52" s="16">
        <f>S52+1</f>
        <v>45317</v>
      </c>
      <c r="Y52" s="16">
        <f>X52+365</f>
        <v>45682</v>
      </c>
      <c r="Z52" t="s" s="19">
        <v>37</v>
      </c>
      <c r="AA52" t="s" s="15">
        <v>44</v>
      </c>
      <c r="AB52" t="s" s="15">
        <v>45</v>
      </c>
      <c r="AC52" t="s" s="15">
        <v>78</v>
      </c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</row>
    <row r="53" ht="13.55" customHeight="1">
      <c r="A53" t="s" s="13">
        <f t="shared" si="822" ref="A53:B53">"02968"</f>
        <v>227</v>
      </c>
      <c r="B53" t="s" s="13">
        <f t="shared" si="822"/>
        <v>227</v>
      </c>
      <c r="C53" t="s" s="13">
        <f t="shared" si="11"/>
        <v>27</v>
      </c>
      <c r="D53" t="s" s="13">
        <f>"NGAH A AMARA"</f>
        <v>228</v>
      </c>
      <c r="E53" t="s" s="13">
        <f>"Elias II"</f>
        <v>229</v>
      </c>
      <c r="F53" s="14">
        <v>34993</v>
      </c>
      <c r="G53" s="14">
        <v>44925</v>
      </c>
      <c r="H53" t="s" s="13">
        <f t="shared" si="14"/>
        <v>30</v>
      </c>
      <c r="I53" t="s" s="13">
        <v>74</v>
      </c>
      <c r="J53" t="s" s="13">
        <f t="shared" si="828" ref="J53:J55">"Tech. Maint. Electricien Auto"</f>
        <v>230</v>
      </c>
      <c r="K53" t="s" s="13">
        <f t="shared" si="144"/>
        <v>76</v>
      </c>
      <c r="L53" t="s" s="15">
        <v>77</v>
      </c>
      <c r="M53" t="s" s="13">
        <v>74</v>
      </c>
      <c r="N53" t="s" s="13">
        <v>70</v>
      </c>
      <c r="O53" t="s" s="13">
        <v>36</v>
      </c>
      <c r="P53" s="16">
        <f>G53</f>
        <v>44925</v>
      </c>
      <c r="Q53" s="16">
        <f>P53+364</f>
        <v>45289</v>
      </c>
      <c r="R53" s="16">
        <f>Q53+1</f>
        <v>45290</v>
      </c>
      <c r="S53" s="16">
        <f>R53+29</f>
        <v>45319</v>
      </c>
      <c r="T53" s="17">
        <v>30</v>
      </c>
      <c r="U53" s="18">
        <v>0</v>
      </c>
      <c r="V53" s="18">
        <f>T53-U53</f>
        <v>30</v>
      </c>
      <c r="W53" s="16">
        <f>R53+V53</f>
        <v>45320</v>
      </c>
      <c r="X53" s="16">
        <f>S53+1</f>
        <v>45320</v>
      </c>
      <c r="Y53" s="16">
        <f>X53+365</f>
        <v>45685</v>
      </c>
      <c r="Z53" t="s" s="19">
        <v>37</v>
      </c>
      <c r="AA53" t="s" s="15">
        <v>44</v>
      </c>
      <c r="AB53" t="s" s="15">
        <v>45</v>
      </c>
      <c r="AC53" t="s" s="15">
        <v>78</v>
      </c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</row>
    <row r="54" ht="13.55" customHeight="1">
      <c r="A54" t="s" s="13">
        <f t="shared" si="838" ref="A54:B54">"02969"</f>
        <v>231</v>
      </c>
      <c r="B54" t="s" s="13">
        <f t="shared" si="838"/>
        <v>231</v>
      </c>
      <c r="C54" t="s" s="13">
        <f t="shared" si="107"/>
        <v>63</v>
      </c>
      <c r="D54" t="s" s="13">
        <f>"MBALLA"</f>
        <v>232</v>
      </c>
      <c r="E54" t="s" s="13">
        <f>"Sabine Vanessa"</f>
        <v>233</v>
      </c>
      <c r="F54" s="14">
        <v>36666</v>
      </c>
      <c r="G54" s="14">
        <v>44914</v>
      </c>
      <c r="H54" t="s" s="13">
        <f t="shared" si="14"/>
        <v>30</v>
      </c>
      <c r="I54" t="s" s="13">
        <v>31</v>
      </c>
      <c r="J54" t="s" s="13">
        <f t="shared" si="764"/>
        <v>213</v>
      </c>
      <c r="K54" t="s" s="13">
        <f t="shared" si="16"/>
        <v>33</v>
      </c>
      <c r="L54" t="s" s="15">
        <v>34</v>
      </c>
      <c r="M54" t="s" s="13">
        <v>31</v>
      </c>
      <c r="N54" t="s" s="13">
        <v>70</v>
      </c>
      <c r="O54" t="s" s="13">
        <v>36</v>
      </c>
      <c r="P54" s="16">
        <f>G54</f>
        <v>44914</v>
      </c>
      <c r="Q54" s="16">
        <f>P54+364</f>
        <v>45278</v>
      </c>
      <c r="R54" s="16">
        <f>Q54+1</f>
        <v>45279</v>
      </c>
      <c r="S54" s="16">
        <f>R54+29</f>
        <v>45308</v>
      </c>
      <c r="T54" s="17">
        <v>30</v>
      </c>
      <c r="U54" s="18">
        <v>0</v>
      </c>
      <c r="V54" s="18">
        <f>T54-U54</f>
        <v>30</v>
      </c>
      <c r="W54" s="16">
        <f>R54+V54</f>
        <v>45309</v>
      </c>
      <c r="X54" s="16">
        <f>S54+1</f>
        <v>45309</v>
      </c>
      <c r="Y54" s="16">
        <f>X54+365</f>
        <v>45674</v>
      </c>
      <c r="Z54" t="s" s="19">
        <v>37</v>
      </c>
      <c r="AA54" t="s" s="15">
        <v>44</v>
      </c>
      <c r="AB54" t="s" s="15">
        <v>45</v>
      </c>
      <c r="AC54" t="s" s="15">
        <v>40</v>
      </c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</row>
    <row r="55" ht="13.55" customHeight="1">
      <c r="A55" t="s" s="13">
        <f t="shared" si="854" ref="A55:B55">"02970"</f>
        <v>234</v>
      </c>
      <c r="B55" t="s" s="13">
        <f t="shared" si="854"/>
        <v>234</v>
      </c>
      <c r="C55" t="s" s="13">
        <f t="shared" si="11"/>
        <v>27</v>
      </c>
      <c r="D55" t="s" s="13">
        <f>"TAKLAI"</f>
        <v>235</v>
      </c>
      <c r="E55" t="s" s="13">
        <f>"Benjamin"</f>
        <v>236</v>
      </c>
      <c r="F55" s="14">
        <v>36030</v>
      </c>
      <c r="G55" s="14">
        <v>44925</v>
      </c>
      <c r="H55" t="s" s="13">
        <f t="shared" si="14"/>
        <v>30</v>
      </c>
      <c r="I55" t="s" s="13">
        <v>31</v>
      </c>
      <c r="J55" t="s" s="13">
        <f t="shared" si="828"/>
        <v>230</v>
      </c>
      <c r="K55" t="s" s="13">
        <f t="shared" si="16"/>
        <v>33</v>
      </c>
      <c r="L55" t="s" s="15">
        <v>34</v>
      </c>
      <c r="M55" t="s" s="13">
        <v>31</v>
      </c>
      <c r="N55" t="s" s="13">
        <v>70</v>
      </c>
      <c r="O55" t="s" s="13">
        <v>36</v>
      </c>
      <c r="P55" s="16">
        <f>G55</f>
        <v>44925</v>
      </c>
      <c r="Q55" s="16">
        <f>P55+364</f>
        <v>45289</v>
      </c>
      <c r="R55" s="16">
        <f>Q55+1</f>
        <v>45290</v>
      </c>
      <c r="S55" s="16">
        <f>R55+29</f>
        <v>45319</v>
      </c>
      <c r="T55" s="17">
        <v>30</v>
      </c>
      <c r="U55" s="18">
        <v>0</v>
      </c>
      <c r="V55" s="18">
        <f>T55-U55</f>
        <v>30</v>
      </c>
      <c r="W55" s="16">
        <f>R55+V55</f>
        <v>45320</v>
      </c>
      <c r="X55" s="16">
        <f>S55+1</f>
        <v>45320</v>
      </c>
      <c r="Y55" s="16">
        <f>X55+365</f>
        <v>45685</v>
      </c>
      <c r="Z55" t="s" s="19">
        <v>37</v>
      </c>
      <c r="AA55" t="s" s="15">
        <v>44</v>
      </c>
      <c r="AB55" t="s" s="15">
        <v>45</v>
      </c>
      <c r="AC55" t="s" s="15">
        <v>40</v>
      </c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</row>
    <row r="56" ht="13.55" customHeight="1">
      <c r="A56" t="s" s="13">
        <f t="shared" si="870" ref="A56:B56">"02971"</f>
        <v>237</v>
      </c>
      <c r="B56" t="s" s="13">
        <f t="shared" si="870"/>
        <v>237</v>
      </c>
      <c r="C56" t="s" s="13">
        <f t="shared" si="11"/>
        <v>27</v>
      </c>
      <c r="D56" t="s" s="13">
        <f>"OLOMO NKOLO"</f>
        <v>238</v>
      </c>
      <c r="E56" t="s" s="13">
        <f>"Fabien Stève"</f>
        <v>239</v>
      </c>
      <c r="F56" s="14">
        <v>34196</v>
      </c>
      <c r="G56" s="14">
        <v>44924</v>
      </c>
      <c r="H56" t="s" s="13">
        <f t="shared" si="14"/>
        <v>30</v>
      </c>
      <c r="I56" t="s" s="13">
        <v>31</v>
      </c>
      <c r="J56" t="s" s="13">
        <f t="shared" si="159"/>
        <v>82</v>
      </c>
      <c r="K56" t="s" s="13">
        <f t="shared" si="16"/>
        <v>33</v>
      </c>
      <c r="L56" t="s" s="15">
        <v>34</v>
      </c>
      <c r="M56" t="s" s="13">
        <v>31</v>
      </c>
      <c r="N56" t="s" s="13">
        <v>35</v>
      </c>
      <c r="O56" t="s" s="13">
        <v>83</v>
      </c>
      <c r="P56" s="16">
        <f>G56</f>
        <v>44924</v>
      </c>
      <c r="Q56" s="16">
        <f>P56+364</f>
        <v>45288</v>
      </c>
      <c r="R56" s="16">
        <f>Q56+1</f>
        <v>45289</v>
      </c>
      <c r="S56" s="16">
        <f>R56+29</f>
        <v>45318</v>
      </c>
      <c r="T56" s="17">
        <v>30</v>
      </c>
      <c r="U56" s="18">
        <v>0</v>
      </c>
      <c r="V56" s="18">
        <f>T56-U56</f>
        <v>30</v>
      </c>
      <c r="W56" s="16">
        <f>R56+V56</f>
        <v>45319</v>
      </c>
      <c r="X56" s="16">
        <f>S56+1</f>
        <v>45319</v>
      </c>
      <c r="Y56" s="16">
        <f>X56+365</f>
        <v>45684</v>
      </c>
      <c r="Z56" t="s" s="19">
        <v>37</v>
      </c>
      <c r="AA56" t="s" s="15">
        <v>44</v>
      </c>
      <c r="AB56" t="s" s="15">
        <v>45</v>
      </c>
      <c r="AC56" t="s" s="15">
        <v>40</v>
      </c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</row>
    <row r="57" ht="13.55" customHeight="1">
      <c r="A57" t="s" s="13">
        <f t="shared" si="886" ref="A57:B57">"02972"</f>
        <v>240</v>
      </c>
      <c r="B57" t="s" s="13">
        <f t="shared" si="886"/>
        <v>240</v>
      </c>
      <c r="C57" t="s" s="13">
        <f t="shared" si="11"/>
        <v>27</v>
      </c>
      <c r="D57" t="s" s="13">
        <f>"PEEMBY PEEMBY"</f>
        <v>241</v>
      </c>
      <c r="E57" t="s" s="13">
        <f>"Craig Loïc Neil"</f>
        <v>242</v>
      </c>
      <c r="F57" s="14">
        <v>36899</v>
      </c>
      <c r="G57" s="14">
        <v>44929</v>
      </c>
      <c r="H57" t="s" s="13">
        <f t="shared" si="14"/>
        <v>30</v>
      </c>
      <c r="I57" t="s" s="13">
        <v>172</v>
      </c>
      <c r="J57" t="s" s="13">
        <f t="shared" si="15"/>
        <v>32</v>
      </c>
      <c r="K57" t="s" s="13">
        <f t="shared" si="96"/>
        <v>58</v>
      </c>
      <c r="L57" t="s" s="15">
        <v>173</v>
      </c>
      <c r="M57" t="s" s="13">
        <v>172</v>
      </c>
      <c r="N57" t="s" s="13">
        <v>35</v>
      </c>
      <c r="O57" t="s" s="13">
        <v>36</v>
      </c>
      <c r="P57" s="16">
        <f>G57</f>
        <v>44929</v>
      </c>
      <c r="Q57" s="16">
        <f>P57+364</f>
        <v>45293</v>
      </c>
      <c r="R57" s="16">
        <f>Q57+1</f>
        <v>45294</v>
      </c>
      <c r="S57" s="16">
        <f>R57+29</f>
        <v>45323</v>
      </c>
      <c r="T57" s="17">
        <v>30</v>
      </c>
      <c r="U57" s="18">
        <v>0</v>
      </c>
      <c r="V57" s="18">
        <f>T57-U57</f>
        <v>30</v>
      </c>
      <c r="W57" s="16">
        <f>R57+V57</f>
        <v>45324</v>
      </c>
      <c r="X57" s="16">
        <f>S57+1</f>
        <v>45324</v>
      </c>
      <c r="Y57" s="16">
        <f>X57+365</f>
        <v>45689</v>
      </c>
      <c r="Z57" t="s" s="19">
        <v>37</v>
      </c>
      <c r="AA57" t="s" s="15">
        <v>44</v>
      </c>
      <c r="AB57" t="s" s="15">
        <v>45</v>
      </c>
      <c r="AC57" t="s" s="15">
        <v>174</v>
      </c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</row>
    <row r="58" ht="13.55" customHeight="1">
      <c r="A58" t="s" s="13">
        <f t="shared" si="902" ref="A58:B58">"02974"</f>
        <v>243</v>
      </c>
      <c r="B58" t="s" s="13">
        <f t="shared" si="902"/>
        <v>243</v>
      </c>
      <c r="C58" t="s" s="13">
        <f t="shared" si="107"/>
        <v>63</v>
      </c>
      <c r="D58" t="s" s="13">
        <f>"BEFOLLO NDONGO"</f>
        <v>244</v>
      </c>
      <c r="E58" t="s" s="13">
        <f>"Marie Solange"</f>
        <v>245</v>
      </c>
      <c r="F58" s="14">
        <v>33007</v>
      </c>
      <c r="G58" s="14">
        <v>44959</v>
      </c>
      <c r="H58" t="s" s="13">
        <f t="shared" si="14"/>
        <v>30</v>
      </c>
      <c r="I58" t="s" s="13">
        <v>74</v>
      </c>
      <c r="J58" t="s" s="13">
        <f>"Agent Administratif"</f>
        <v>246</v>
      </c>
      <c r="K58" t="s" s="13">
        <f>"DIRECTION GENERALE"</f>
        <v>247</v>
      </c>
      <c r="L58" t="s" s="15">
        <v>248</v>
      </c>
      <c r="M58" t="s" s="13">
        <v>74</v>
      </c>
      <c r="N58" t="s" s="13">
        <v>70</v>
      </c>
      <c r="O58" t="s" s="13">
        <v>36</v>
      </c>
      <c r="P58" s="16">
        <f>G58</f>
        <v>44959</v>
      </c>
      <c r="Q58" s="16">
        <f>P58+364</f>
        <v>45323</v>
      </c>
      <c r="R58" s="16">
        <f>Q58+1</f>
        <v>45324</v>
      </c>
      <c r="S58" s="16">
        <f>R58+29</f>
        <v>45353</v>
      </c>
      <c r="T58" s="17">
        <v>30</v>
      </c>
      <c r="U58" s="18">
        <v>0</v>
      </c>
      <c r="V58" s="18">
        <f>T58-U58</f>
        <v>30</v>
      </c>
      <c r="W58" s="16">
        <f>R58+V58</f>
        <v>45354</v>
      </c>
      <c r="X58" s="16">
        <f>S58+1</f>
        <v>45354</v>
      </c>
      <c r="Y58" s="16">
        <f>X58+365</f>
        <v>45719</v>
      </c>
      <c r="Z58" t="s" s="19">
        <v>37</v>
      </c>
      <c r="AA58" t="s" s="15">
        <v>44</v>
      </c>
      <c r="AB58" t="s" s="15">
        <v>45</v>
      </c>
      <c r="AC58" t="s" s="15">
        <v>223</v>
      </c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</row>
    <row r="59" ht="13.55" customHeight="1">
      <c r="A59" t="s" s="13">
        <f t="shared" si="918" ref="A59:B59">"02975"</f>
        <v>249</v>
      </c>
      <c r="B59" t="s" s="13">
        <f t="shared" si="918"/>
        <v>249</v>
      </c>
      <c r="C59" t="s" s="13">
        <f t="shared" si="920" ref="C59:C154">"Madame"</f>
        <v>250</v>
      </c>
      <c r="D59" t="s" s="13">
        <f>"MPOME EYANGO"</f>
        <v>251</v>
      </c>
      <c r="E59" t="s" s="13">
        <f>"Christelle Natacha"</f>
        <v>252</v>
      </c>
      <c r="F59" s="14">
        <v>33591</v>
      </c>
      <c r="G59" s="14">
        <v>44952</v>
      </c>
      <c r="H59" t="s" s="13">
        <v>93</v>
      </c>
      <c r="I59" t="s" s="13">
        <v>74</v>
      </c>
      <c r="J59" t="s" s="13">
        <f t="shared" si="923" ref="J59:J122">"Agent Fret"</f>
        <v>253</v>
      </c>
      <c r="K59" t="s" s="13">
        <f t="shared" si="144"/>
        <v>76</v>
      </c>
      <c r="L59" t="s" s="15">
        <v>77</v>
      </c>
      <c r="M59" t="s" s="13">
        <v>74</v>
      </c>
      <c r="N59" t="s" s="13">
        <v>70</v>
      </c>
      <c r="O59" t="s" s="13">
        <v>36</v>
      </c>
      <c r="P59" s="16">
        <f>G59</f>
        <v>44952</v>
      </c>
      <c r="Q59" s="16">
        <f>P59+364</f>
        <v>45316</v>
      </c>
      <c r="R59" s="16">
        <f>Q59+1</f>
        <v>45317</v>
      </c>
      <c r="S59" s="16">
        <f>R59+29</f>
        <v>45346</v>
      </c>
      <c r="T59" s="17">
        <v>30</v>
      </c>
      <c r="U59" s="18">
        <v>0</v>
      </c>
      <c r="V59" s="18">
        <f>T59-U59</f>
        <v>30</v>
      </c>
      <c r="W59" s="16">
        <f>R59+V59</f>
        <v>45347</v>
      </c>
      <c r="X59" s="16">
        <f>S59+1</f>
        <v>45347</v>
      </c>
      <c r="Y59" s="16">
        <f>X59+365</f>
        <v>45712</v>
      </c>
      <c r="Z59" s="22"/>
      <c r="AA59" t="s" s="15">
        <v>44</v>
      </c>
      <c r="AB59" t="s" s="15">
        <v>45</v>
      </c>
      <c r="AC59" t="s" s="15">
        <v>78</v>
      </c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</row>
    <row r="60" ht="13.55" customHeight="1">
      <c r="A60" t="s" s="13">
        <f t="shared" si="933" ref="A60:B60">"02976"</f>
        <v>254</v>
      </c>
      <c r="B60" t="s" s="13">
        <f t="shared" si="933"/>
        <v>254</v>
      </c>
      <c r="C60" t="s" s="13">
        <f t="shared" si="107"/>
        <v>63</v>
      </c>
      <c r="D60" t="s" s="13">
        <f>"NGAYEN NGOUPAYOU"</f>
        <v>255</v>
      </c>
      <c r="E60" t="s" s="13">
        <f>"Samira"</f>
        <v>256</v>
      </c>
      <c r="F60" s="14">
        <v>36442</v>
      </c>
      <c r="G60" s="14">
        <v>44956</v>
      </c>
      <c r="H60" t="s" s="13">
        <f t="shared" si="14"/>
        <v>30</v>
      </c>
      <c r="I60" t="s" s="13">
        <v>74</v>
      </c>
      <c r="J60" t="s" s="13">
        <f>"Assistant Environnement"</f>
        <v>257</v>
      </c>
      <c r="K60" t="s" s="13">
        <f>"DIRECTION QUAL. SEC. ENV."</f>
        <v>258</v>
      </c>
      <c r="L60" s="23"/>
      <c r="M60" t="s" s="13">
        <v>74</v>
      </c>
      <c r="N60" t="s" s="13">
        <v>199</v>
      </c>
      <c r="O60" t="s" s="13">
        <v>36</v>
      </c>
      <c r="P60" s="16">
        <f>G60</f>
        <v>44956</v>
      </c>
      <c r="Q60" s="16">
        <f>P60+364</f>
        <v>45320</v>
      </c>
      <c r="R60" s="16">
        <f>Q60+1</f>
        <v>45321</v>
      </c>
      <c r="S60" s="16">
        <f>R60+29</f>
        <v>45350</v>
      </c>
      <c r="T60" s="17">
        <v>30</v>
      </c>
      <c r="U60" s="18">
        <v>0</v>
      </c>
      <c r="V60" s="18">
        <f>T60-U60</f>
        <v>30</v>
      </c>
      <c r="W60" s="16">
        <f>R60+V60</f>
        <v>45351</v>
      </c>
      <c r="X60" s="16">
        <f>S60+1</f>
        <v>45351</v>
      </c>
      <c r="Y60" s="16">
        <f>X60+365</f>
        <v>45716</v>
      </c>
      <c r="Z60" t="s" s="19">
        <v>37</v>
      </c>
      <c r="AA60" t="s" s="15">
        <v>44</v>
      </c>
      <c r="AB60" t="s" s="15">
        <v>45</v>
      </c>
      <c r="AC60" t="s" s="15">
        <v>223</v>
      </c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</row>
    <row r="61" ht="13.55" customHeight="1">
      <c r="A61" t="s" s="13">
        <f t="shared" si="949" ref="A61:B61">"02977"</f>
        <v>259</v>
      </c>
      <c r="B61" t="s" s="13">
        <f t="shared" si="949"/>
        <v>259</v>
      </c>
      <c r="C61" t="s" s="13">
        <f t="shared" si="107"/>
        <v>63</v>
      </c>
      <c r="D61" t="s" s="13">
        <f>"OKONABENG"</f>
        <v>260</v>
      </c>
      <c r="E61" t="s" s="13">
        <f>"Unis Jorelle Annisa"</f>
        <v>261</v>
      </c>
      <c r="F61" s="14">
        <v>36574</v>
      </c>
      <c r="G61" s="14">
        <v>44967</v>
      </c>
      <c r="H61" t="s" s="13">
        <f t="shared" si="14"/>
        <v>30</v>
      </c>
      <c r="I61" t="s" s="13">
        <v>74</v>
      </c>
      <c r="J61" t="s" s="13">
        <f t="shared" si="764"/>
        <v>213</v>
      </c>
      <c r="K61" t="s" s="13">
        <f t="shared" si="144"/>
        <v>76</v>
      </c>
      <c r="L61" t="s" s="15">
        <v>77</v>
      </c>
      <c r="M61" t="s" s="13">
        <v>74</v>
      </c>
      <c r="N61" t="s" s="13">
        <v>70</v>
      </c>
      <c r="O61" t="s" s="13">
        <v>36</v>
      </c>
      <c r="P61" s="16">
        <f>G61</f>
        <v>44967</v>
      </c>
      <c r="Q61" s="16">
        <f>P61+364</f>
        <v>45331</v>
      </c>
      <c r="R61" s="16">
        <f>Q61+1</f>
        <v>45332</v>
      </c>
      <c r="S61" s="16">
        <f>R61+29</f>
        <v>45361</v>
      </c>
      <c r="T61" s="17">
        <v>30</v>
      </c>
      <c r="U61" s="18">
        <v>0</v>
      </c>
      <c r="V61" s="18">
        <f>T61-U61</f>
        <v>30</v>
      </c>
      <c r="W61" s="16">
        <f>R61+V61</f>
        <v>45362</v>
      </c>
      <c r="X61" s="16">
        <f>S61+1</f>
        <v>45362</v>
      </c>
      <c r="Y61" s="16">
        <f>X61+365</f>
        <v>45727</v>
      </c>
      <c r="Z61" s="22"/>
      <c r="AA61" t="s" s="15">
        <v>44</v>
      </c>
      <c r="AB61" t="s" s="15">
        <v>45</v>
      </c>
      <c r="AC61" t="s" s="15">
        <v>78</v>
      </c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</row>
    <row r="62" ht="13.55" customHeight="1">
      <c r="A62" t="s" s="13">
        <f t="shared" si="965" ref="A62:B62">"02978"</f>
        <v>262</v>
      </c>
      <c r="B62" t="s" s="13">
        <f t="shared" si="965"/>
        <v>262</v>
      </c>
      <c r="C62" t="s" s="13">
        <f t="shared" si="107"/>
        <v>63</v>
      </c>
      <c r="D62" t="s" s="13">
        <f>"Isabelle TURMAINE"</f>
        <v>263</v>
      </c>
      <c r="E62" t="s" s="13">
        <f t="shared" si="61"/>
      </c>
      <c r="F62" s="14">
        <v>34849</v>
      </c>
      <c r="G62" s="14">
        <v>44970</v>
      </c>
      <c r="H62" t="s" s="13">
        <f t="shared" si="14"/>
        <v>30</v>
      </c>
      <c r="I62" t="s" s="13">
        <v>74</v>
      </c>
      <c r="J62" t="s" s="13">
        <f t="shared" si="764"/>
        <v>213</v>
      </c>
      <c r="K62" t="s" s="13">
        <f t="shared" si="144"/>
        <v>76</v>
      </c>
      <c r="L62" t="s" s="15">
        <v>77</v>
      </c>
      <c r="M62" t="s" s="13">
        <v>74</v>
      </c>
      <c r="N62" t="s" s="13">
        <v>70</v>
      </c>
      <c r="O62" t="s" s="13">
        <v>36</v>
      </c>
      <c r="P62" s="16">
        <f>G62</f>
        <v>44970</v>
      </c>
      <c r="Q62" s="16">
        <f>P62+364</f>
        <v>45334</v>
      </c>
      <c r="R62" s="16">
        <f>Q62+1</f>
        <v>45335</v>
      </c>
      <c r="S62" s="16">
        <f>R62+29</f>
        <v>45364</v>
      </c>
      <c r="T62" s="17">
        <v>30</v>
      </c>
      <c r="U62" s="18">
        <v>0</v>
      </c>
      <c r="V62" s="18">
        <f>T62-U62</f>
        <v>30</v>
      </c>
      <c r="W62" s="16">
        <f>R62+V62</f>
        <v>45365</v>
      </c>
      <c r="X62" s="16">
        <f>S62+1</f>
        <v>45365</v>
      </c>
      <c r="Y62" s="16">
        <f>X62+365</f>
        <v>45730</v>
      </c>
      <c r="Z62" t="s" s="19">
        <v>37</v>
      </c>
      <c r="AA62" t="s" s="15">
        <v>44</v>
      </c>
      <c r="AB62" t="s" s="15">
        <v>45</v>
      </c>
      <c r="AC62" t="s" s="15">
        <v>78</v>
      </c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</row>
    <row r="63" ht="13.55" customHeight="1">
      <c r="A63" t="s" s="13">
        <f t="shared" si="981" ref="A63:B63">"02979"</f>
        <v>264</v>
      </c>
      <c r="B63" t="s" s="13">
        <f t="shared" si="981"/>
        <v>264</v>
      </c>
      <c r="C63" t="s" s="13">
        <f t="shared" si="11"/>
        <v>27</v>
      </c>
      <c r="D63" t="s" s="13">
        <f>"MAMBOU TIAM"</f>
        <v>265</v>
      </c>
      <c r="E63" t="s" s="13">
        <f t="shared" si="985" ref="E63:E169">"Yannick"</f>
        <v>266</v>
      </c>
      <c r="F63" s="14">
        <v>31972</v>
      </c>
      <c r="G63" s="14">
        <v>44970</v>
      </c>
      <c r="H63" t="s" s="13">
        <f t="shared" si="14"/>
        <v>30</v>
      </c>
      <c r="I63" t="s" s="13">
        <v>74</v>
      </c>
      <c r="J63" t="s" s="13">
        <f t="shared" si="987" ref="J63:J197">"Agent Exploitation Aérodrome"</f>
        <v>267</v>
      </c>
      <c r="K63" t="s" s="13">
        <f t="shared" si="144"/>
        <v>76</v>
      </c>
      <c r="L63" t="s" s="15">
        <v>77</v>
      </c>
      <c r="M63" t="s" s="13">
        <v>74</v>
      </c>
      <c r="N63" t="s" s="13">
        <v>70</v>
      </c>
      <c r="O63" t="s" s="13">
        <v>36</v>
      </c>
      <c r="P63" s="16">
        <f>G63</f>
        <v>44970</v>
      </c>
      <c r="Q63" s="16">
        <f>P63+364</f>
        <v>45334</v>
      </c>
      <c r="R63" s="16">
        <f>Q63+1</f>
        <v>45335</v>
      </c>
      <c r="S63" s="16">
        <f>R63+29</f>
        <v>45364</v>
      </c>
      <c r="T63" s="17">
        <v>30</v>
      </c>
      <c r="U63" s="18">
        <v>0</v>
      </c>
      <c r="V63" s="18">
        <f>T63-U63</f>
        <v>30</v>
      </c>
      <c r="W63" s="16">
        <f>R63+V63</f>
        <v>45365</v>
      </c>
      <c r="X63" s="16">
        <f>S63+1</f>
        <v>45365</v>
      </c>
      <c r="Y63" s="16">
        <f>X63+365</f>
        <v>45730</v>
      </c>
      <c r="Z63" t="s" s="19">
        <v>37</v>
      </c>
      <c r="AA63" t="s" s="15">
        <v>44</v>
      </c>
      <c r="AB63" t="s" s="15">
        <v>45</v>
      </c>
      <c r="AC63" t="s" s="15">
        <v>78</v>
      </c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</row>
    <row r="64" ht="13.55" customHeight="1">
      <c r="A64" t="s" s="13">
        <f t="shared" si="997" ref="A64:B64">"02980"</f>
        <v>268</v>
      </c>
      <c r="B64" t="s" s="13">
        <f t="shared" si="997"/>
        <v>268</v>
      </c>
      <c r="C64" t="s" s="13">
        <f t="shared" si="11"/>
        <v>27</v>
      </c>
      <c r="D64" t="s" s="13">
        <f>"AMOUGOU ESSAMA"</f>
        <v>269</v>
      </c>
      <c r="E64" t="s" s="13">
        <f>"Jules Williams"</f>
        <v>270</v>
      </c>
      <c r="F64" s="14">
        <v>32718</v>
      </c>
      <c r="G64" s="14">
        <v>44970</v>
      </c>
      <c r="H64" t="s" s="13">
        <f t="shared" si="14"/>
        <v>30</v>
      </c>
      <c r="I64" t="s" s="13">
        <v>74</v>
      </c>
      <c r="J64" t="s" s="13">
        <f t="shared" si="143"/>
        <v>75</v>
      </c>
      <c r="K64" t="s" s="13">
        <f t="shared" si="144"/>
        <v>76</v>
      </c>
      <c r="L64" t="s" s="15">
        <v>77</v>
      </c>
      <c r="M64" t="s" s="13">
        <v>74</v>
      </c>
      <c r="N64" t="s" s="13">
        <v>70</v>
      </c>
      <c r="O64" t="s" s="13">
        <v>36</v>
      </c>
      <c r="P64" s="16">
        <f>G64</f>
        <v>44970</v>
      </c>
      <c r="Q64" s="16">
        <f>P64+364</f>
        <v>45334</v>
      </c>
      <c r="R64" s="16">
        <f>Q64+1</f>
        <v>45335</v>
      </c>
      <c r="S64" s="16">
        <f>R64+29</f>
        <v>45364</v>
      </c>
      <c r="T64" s="17">
        <v>30</v>
      </c>
      <c r="U64" s="18">
        <v>0</v>
      </c>
      <c r="V64" s="18">
        <f>T64-U64</f>
        <v>30</v>
      </c>
      <c r="W64" s="16">
        <f>R64+V64</f>
        <v>45365</v>
      </c>
      <c r="X64" s="16">
        <f>S64+1</f>
        <v>45365</v>
      </c>
      <c r="Y64" s="16">
        <f>X64+365</f>
        <v>45730</v>
      </c>
      <c r="Z64" t="s" s="19">
        <v>37</v>
      </c>
      <c r="AA64" t="s" s="15">
        <v>44</v>
      </c>
      <c r="AB64" t="s" s="15">
        <v>45</v>
      </c>
      <c r="AC64" t="s" s="15">
        <v>78</v>
      </c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</row>
    <row r="65" ht="13.55" customHeight="1">
      <c r="A65" t="s" s="13">
        <f t="shared" si="1013" ref="A65:B65">"02981"</f>
        <v>271</v>
      </c>
      <c r="B65" t="s" s="13">
        <f t="shared" si="1013"/>
        <v>271</v>
      </c>
      <c r="C65" t="s" s="13">
        <f t="shared" si="11"/>
        <v>27</v>
      </c>
      <c r="D65" t="s" s="13">
        <f>"NJOYA NJUENKOU"</f>
        <v>272</v>
      </c>
      <c r="E65" t="s" s="13">
        <f>"Jephté Bertrand"</f>
        <v>273</v>
      </c>
      <c r="F65" s="14">
        <v>34051</v>
      </c>
      <c r="G65" s="14">
        <v>44970</v>
      </c>
      <c r="H65" t="s" s="13">
        <f t="shared" si="14"/>
        <v>30</v>
      </c>
      <c r="I65" t="s" s="13">
        <v>74</v>
      </c>
      <c r="J65" t="s" s="13">
        <f>"Chef Sect Bât. et Aménagements"</f>
        <v>274</v>
      </c>
      <c r="K65" t="s" s="13">
        <f t="shared" si="144"/>
        <v>76</v>
      </c>
      <c r="L65" t="s" s="15">
        <v>77</v>
      </c>
      <c r="M65" t="s" s="13">
        <v>74</v>
      </c>
      <c r="N65" t="s" s="13">
        <v>199</v>
      </c>
      <c r="O65" t="s" s="13">
        <v>36</v>
      </c>
      <c r="P65" s="16">
        <f>G65</f>
        <v>44970</v>
      </c>
      <c r="Q65" s="16">
        <f>P65+364</f>
        <v>45334</v>
      </c>
      <c r="R65" s="16">
        <f>Q65+1</f>
        <v>45335</v>
      </c>
      <c r="S65" s="16">
        <f>R65+29</f>
        <v>45364</v>
      </c>
      <c r="T65" s="17">
        <v>30</v>
      </c>
      <c r="U65" s="18">
        <v>0</v>
      </c>
      <c r="V65" s="18">
        <f>T65-U65</f>
        <v>30</v>
      </c>
      <c r="W65" s="16">
        <f>R65+V65</f>
        <v>45365</v>
      </c>
      <c r="X65" s="16">
        <f>S65+1</f>
        <v>45365</v>
      </c>
      <c r="Y65" s="16">
        <f>X65+365</f>
        <v>45730</v>
      </c>
      <c r="Z65" t="s" s="19">
        <v>37</v>
      </c>
      <c r="AA65" t="s" s="15">
        <v>44</v>
      </c>
      <c r="AB65" t="s" s="15">
        <v>45</v>
      </c>
      <c r="AC65" t="s" s="15">
        <v>78</v>
      </c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</row>
    <row r="66" ht="13.55" customHeight="1">
      <c r="A66" t="s" s="13">
        <f t="shared" si="1029" ref="A66:B66">"02982"</f>
        <v>275</v>
      </c>
      <c r="B66" t="s" s="13">
        <f t="shared" si="1029"/>
        <v>275</v>
      </c>
      <c r="C66" t="s" s="13">
        <f t="shared" si="11"/>
        <v>27</v>
      </c>
      <c r="D66" t="s" s="13">
        <f>"FEZEU NZALLI"</f>
        <v>276</v>
      </c>
      <c r="E66" t="s" s="13">
        <f>"Hermann"</f>
        <v>277</v>
      </c>
      <c r="F66" s="14">
        <v>32599</v>
      </c>
      <c r="G66" s="14">
        <v>44970</v>
      </c>
      <c r="H66" t="s" s="13">
        <f t="shared" si="14"/>
        <v>30</v>
      </c>
      <c r="I66" t="s" s="13">
        <v>74</v>
      </c>
      <c r="J66" t="s" s="13">
        <f t="shared" si="127"/>
        <v>69</v>
      </c>
      <c r="K66" t="s" s="13">
        <f t="shared" si="144"/>
        <v>76</v>
      </c>
      <c r="L66" t="s" s="15">
        <v>77</v>
      </c>
      <c r="M66" t="s" s="13">
        <v>74</v>
      </c>
      <c r="N66" t="s" s="13">
        <v>70</v>
      </c>
      <c r="O66" t="s" s="13">
        <v>36</v>
      </c>
      <c r="P66" s="16">
        <f>G66</f>
        <v>44970</v>
      </c>
      <c r="Q66" s="16">
        <f>P66+364</f>
        <v>45334</v>
      </c>
      <c r="R66" s="16">
        <f>Q66+1</f>
        <v>45335</v>
      </c>
      <c r="S66" s="16">
        <f>R66+29</f>
        <v>45364</v>
      </c>
      <c r="T66" s="17">
        <v>30</v>
      </c>
      <c r="U66" s="18">
        <v>0</v>
      </c>
      <c r="V66" s="18">
        <f>T66-U66</f>
        <v>30</v>
      </c>
      <c r="W66" s="16">
        <f>R66+V66</f>
        <v>45365</v>
      </c>
      <c r="X66" s="16">
        <f>S66+1</f>
        <v>45365</v>
      </c>
      <c r="Y66" s="16">
        <f>X66+365</f>
        <v>45730</v>
      </c>
      <c r="Z66" t="s" s="19">
        <v>37</v>
      </c>
      <c r="AA66" t="s" s="15">
        <v>44</v>
      </c>
      <c r="AB66" t="s" s="15">
        <v>45</v>
      </c>
      <c r="AC66" t="s" s="15">
        <v>78</v>
      </c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</row>
    <row r="67" ht="13.55" customHeight="1">
      <c r="A67" t="s" s="13">
        <f t="shared" si="1045" ref="A67:B67">"02983"</f>
        <v>278</v>
      </c>
      <c r="B67" t="s" s="13">
        <f t="shared" si="1045"/>
        <v>278</v>
      </c>
      <c r="C67" t="s" s="13">
        <f t="shared" si="11"/>
        <v>27</v>
      </c>
      <c r="D67" t="s" s="13">
        <f>"NGAMOUGOU AYINDA"</f>
        <v>279</v>
      </c>
      <c r="E67" t="s" s="13">
        <f t="shared" si="1049" ref="E67:E117">"Christian"</f>
        <v>280</v>
      </c>
      <c r="F67" s="14">
        <v>33766</v>
      </c>
      <c r="G67" s="14">
        <v>44967</v>
      </c>
      <c r="H67" t="s" s="13">
        <f t="shared" si="14"/>
        <v>30</v>
      </c>
      <c r="I67" t="s" s="13">
        <v>74</v>
      </c>
      <c r="J67" t="s" s="13">
        <f t="shared" si="127"/>
        <v>69</v>
      </c>
      <c r="K67" t="s" s="13">
        <f t="shared" si="144"/>
        <v>76</v>
      </c>
      <c r="L67" t="s" s="15">
        <v>77</v>
      </c>
      <c r="M67" t="s" s="13">
        <v>74</v>
      </c>
      <c r="N67" t="s" s="13">
        <v>70</v>
      </c>
      <c r="O67" t="s" s="13">
        <v>36</v>
      </c>
      <c r="P67" s="16">
        <f>G67</f>
        <v>44967</v>
      </c>
      <c r="Q67" s="16">
        <f>P67+364</f>
        <v>45331</v>
      </c>
      <c r="R67" s="16">
        <f>Q67+1</f>
        <v>45332</v>
      </c>
      <c r="S67" s="16">
        <f>R67+29</f>
        <v>45361</v>
      </c>
      <c r="T67" s="17">
        <v>30</v>
      </c>
      <c r="U67" s="18">
        <v>0</v>
      </c>
      <c r="V67" s="18">
        <f>T67-U67</f>
        <v>30</v>
      </c>
      <c r="W67" s="16">
        <f>R67+V67</f>
        <v>45362</v>
      </c>
      <c r="X67" s="16">
        <f>S67+1</f>
        <v>45362</v>
      </c>
      <c r="Y67" s="16">
        <f>X67+365</f>
        <v>45727</v>
      </c>
      <c r="Z67" t="s" s="19">
        <v>37</v>
      </c>
      <c r="AA67" t="s" s="15">
        <v>44</v>
      </c>
      <c r="AB67" t="s" s="15">
        <v>45</v>
      </c>
      <c r="AC67" t="s" s="15">
        <v>78</v>
      </c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</row>
    <row r="68" ht="13.55" customHeight="1">
      <c r="A68" t="s" s="13">
        <f t="shared" si="1061" ref="A68:B68">"02984"</f>
        <v>281</v>
      </c>
      <c r="B68" t="s" s="13">
        <f t="shared" si="1061"/>
        <v>281</v>
      </c>
      <c r="C68" t="s" s="13">
        <f t="shared" si="11"/>
        <v>27</v>
      </c>
      <c r="D68" t="s" s="13">
        <f>"NDJEUNGA NOUMEN"</f>
        <v>282</v>
      </c>
      <c r="E68" t="s" s="13">
        <f>"Loïc Fabien"</f>
        <v>283</v>
      </c>
      <c r="F68" s="14">
        <v>34844</v>
      </c>
      <c r="G68" s="14">
        <v>44965</v>
      </c>
      <c r="H68" t="s" s="13">
        <f t="shared" si="14"/>
        <v>30</v>
      </c>
      <c r="I68" t="s" s="13">
        <v>74</v>
      </c>
      <c r="J68" t="s" s="13">
        <f t="shared" si="987"/>
        <v>267</v>
      </c>
      <c r="K68" t="s" s="13">
        <f t="shared" si="144"/>
        <v>76</v>
      </c>
      <c r="L68" t="s" s="15">
        <v>77</v>
      </c>
      <c r="M68" t="s" s="13">
        <v>74</v>
      </c>
      <c r="N68" t="s" s="13">
        <v>70</v>
      </c>
      <c r="O68" t="s" s="13">
        <v>36</v>
      </c>
      <c r="P68" s="16">
        <f>G68</f>
        <v>44965</v>
      </c>
      <c r="Q68" s="16">
        <f>P68+364</f>
        <v>45329</v>
      </c>
      <c r="R68" s="16">
        <f>Q68+1</f>
        <v>45330</v>
      </c>
      <c r="S68" s="16">
        <f>R68+29</f>
        <v>45359</v>
      </c>
      <c r="T68" s="17">
        <v>30</v>
      </c>
      <c r="U68" s="18">
        <v>0</v>
      </c>
      <c r="V68" s="18">
        <f>T68-U68</f>
        <v>30</v>
      </c>
      <c r="W68" s="16">
        <f>R68+V68</f>
        <v>45360</v>
      </c>
      <c r="X68" s="16">
        <f>S68+1</f>
        <v>45360</v>
      </c>
      <c r="Y68" s="16">
        <f>X68+365</f>
        <v>45725</v>
      </c>
      <c r="Z68" t="s" s="19">
        <v>37</v>
      </c>
      <c r="AA68" t="s" s="15">
        <v>38</v>
      </c>
      <c r="AB68" t="s" s="15">
        <v>39</v>
      </c>
      <c r="AC68" t="s" s="15">
        <v>78</v>
      </c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</row>
    <row r="69" ht="13.55" customHeight="1">
      <c r="A69" t="s" s="13">
        <f t="shared" si="1077" ref="A69:B69">"02985"</f>
        <v>284</v>
      </c>
      <c r="B69" t="s" s="13">
        <f t="shared" si="1077"/>
        <v>284</v>
      </c>
      <c r="C69" t="s" s="13">
        <f t="shared" si="11"/>
        <v>27</v>
      </c>
      <c r="D69" t="s" s="13">
        <f>"SOBZE MBIAGOUP"</f>
        <v>285</v>
      </c>
      <c r="E69" t="s" s="13">
        <f>"Brayar Anderson"</f>
        <v>286</v>
      </c>
      <c r="F69" s="14">
        <v>37493</v>
      </c>
      <c r="G69" s="14">
        <v>44966</v>
      </c>
      <c r="H69" t="s" s="13">
        <f t="shared" si="14"/>
        <v>30</v>
      </c>
      <c r="I69" t="s" s="13">
        <v>74</v>
      </c>
      <c r="J69" t="s" s="13">
        <f t="shared" si="1083" ref="J69:J202">"Assistant Contrôleur Gestion"</f>
        <v>287</v>
      </c>
      <c r="K69" t="s" s="13">
        <f t="shared" si="1084" ref="K69:K202">"DIVISION CONTROLE DE GESTION"</f>
        <v>288</v>
      </c>
      <c r="L69" s="23"/>
      <c r="M69" t="s" s="13">
        <v>74</v>
      </c>
      <c r="N69" t="s" s="13">
        <v>199</v>
      </c>
      <c r="O69" t="s" s="13">
        <v>36</v>
      </c>
      <c r="P69" s="16">
        <f>G69</f>
        <v>44966</v>
      </c>
      <c r="Q69" s="16">
        <f>P69+364</f>
        <v>45330</v>
      </c>
      <c r="R69" s="16">
        <f>Q69+1</f>
        <v>45331</v>
      </c>
      <c r="S69" s="16">
        <f>R69+29</f>
        <v>45360</v>
      </c>
      <c r="T69" s="17">
        <v>30</v>
      </c>
      <c r="U69" s="18">
        <v>0</v>
      </c>
      <c r="V69" s="18">
        <f>T69-U69</f>
        <v>30</v>
      </c>
      <c r="W69" s="16">
        <f>R69+V69</f>
        <v>45361</v>
      </c>
      <c r="X69" s="16">
        <f>S69+1</f>
        <v>45361</v>
      </c>
      <c r="Y69" s="16">
        <f>X69+365</f>
        <v>45726</v>
      </c>
      <c r="Z69" t="s" s="19">
        <v>37</v>
      </c>
      <c r="AA69" t="s" s="15">
        <v>44</v>
      </c>
      <c r="AB69" t="s" s="15">
        <v>45</v>
      </c>
      <c r="AC69" s="23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</row>
    <row r="70" ht="13.55" customHeight="1">
      <c r="A70" t="s" s="13">
        <f t="shared" si="1093" ref="A70:B70">"02986"</f>
        <v>289</v>
      </c>
      <c r="B70" t="s" s="13">
        <f t="shared" si="1093"/>
        <v>289</v>
      </c>
      <c r="C70" t="s" s="13">
        <f t="shared" si="11"/>
        <v>27</v>
      </c>
      <c r="D70" t="s" s="13">
        <f>"NTOUROU"</f>
        <v>290</v>
      </c>
      <c r="E70" t="s" s="13">
        <f>"Joseph Désiré"</f>
        <v>291</v>
      </c>
      <c r="F70" s="14">
        <v>30250</v>
      </c>
      <c r="G70" s="14">
        <v>44971</v>
      </c>
      <c r="H70" t="s" s="13">
        <f t="shared" si="14"/>
        <v>30</v>
      </c>
      <c r="I70" t="s" s="13">
        <v>74</v>
      </c>
      <c r="J70" t="s" s="13">
        <f t="shared" si="1099" ref="J70:J137">"Agent Sûreté"</f>
        <v>292</v>
      </c>
      <c r="K70" t="s" s="13">
        <f t="shared" si="144"/>
        <v>76</v>
      </c>
      <c r="L70" t="s" s="15">
        <v>77</v>
      </c>
      <c r="M70" t="s" s="13">
        <v>74</v>
      </c>
      <c r="N70" t="s" s="13">
        <v>70</v>
      </c>
      <c r="O70" t="s" s="13">
        <v>36</v>
      </c>
      <c r="P70" s="16">
        <f>G70</f>
        <v>44971</v>
      </c>
      <c r="Q70" s="16">
        <f>P70+364</f>
        <v>45335</v>
      </c>
      <c r="R70" s="16">
        <f>Q70+1</f>
        <v>45336</v>
      </c>
      <c r="S70" s="16">
        <f>R70+29</f>
        <v>45365</v>
      </c>
      <c r="T70" s="17">
        <v>30</v>
      </c>
      <c r="U70" s="18">
        <v>0</v>
      </c>
      <c r="V70" s="18">
        <f>T70-U70</f>
        <v>30</v>
      </c>
      <c r="W70" s="16">
        <f>R70+V70</f>
        <v>45366</v>
      </c>
      <c r="X70" s="16">
        <f>S70+1</f>
        <v>45366</v>
      </c>
      <c r="Y70" s="16">
        <f>X70+365</f>
        <v>45731</v>
      </c>
      <c r="Z70" s="22"/>
      <c r="AA70" t="s" s="15">
        <v>44</v>
      </c>
      <c r="AB70" t="s" s="15">
        <v>45</v>
      </c>
      <c r="AC70" t="s" s="15">
        <v>78</v>
      </c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</row>
    <row r="71" ht="13.55" customHeight="1">
      <c r="A71" t="s" s="13">
        <f t="shared" si="1109" ref="A71:B71">"02987"</f>
        <v>293</v>
      </c>
      <c r="B71" t="s" s="13">
        <f t="shared" si="1109"/>
        <v>293</v>
      </c>
      <c r="C71" t="s" s="13">
        <f t="shared" si="11"/>
        <v>27</v>
      </c>
      <c r="D71" t="s" s="13">
        <f>"FOUAKWETT TALLA"</f>
        <v>294</v>
      </c>
      <c r="E71" t="s" s="13">
        <f>"J.P. Junior"</f>
        <v>295</v>
      </c>
      <c r="F71" s="14">
        <v>37361</v>
      </c>
      <c r="G71" s="14">
        <v>44958</v>
      </c>
      <c r="H71" t="s" s="13">
        <f t="shared" si="14"/>
        <v>30</v>
      </c>
      <c r="I71" t="s" s="13">
        <v>74</v>
      </c>
      <c r="J71" t="s" s="13">
        <f t="shared" si="1099"/>
        <v>292</v>
      </c>
      <c r="K71" t="s" s="13">
        <f t="shared" si="144"/>
        <v>76</v>
      </c>
      <c r="L71" t="s" s="15">
        <v>77</v>
      </c>
      <c r="M71" t="s" s="13">
        <v>74</v>
      </c>
      <c r="N71" t="s" s="13">
        <v>70</v>
      </c>
      <c r="O71" t="s" s="13">
        <v>36</v>
      </c>
      <c r="P71" s="16">
        <f>G71</f>
        <v>44958</v>
      </c>
      <c r="Q71" s="16">
        <f>P71+364</f>
        <v>45322</v>
      </c>
      <c r="R71" s="16">
        <f>Q71+1</f>
        <v>45323</v>
      </c>
      <c r="S71" s="16">
        <f>R71+29</f>
        <v>45352</v>
      </c>
      <c r="T71" s="17">
        <v>30</v>
      </c>
      <c r="U71" s="18">
        <v>0</v>
      </c>
      <c r="V71" s="18">
        <f>T71-U71</f>
        <v>30</v>
      </c>
      <c r="W71" s="16">
        <f>R71+V71</f>
        <v>45353</v>
      </c>
      <c r="X71" s="16">
        <f>S71+1</f>
        <v>45353</v>
      </c>
      <c r="Y71" s="16">
        <f>X71+365</f>
        <v>45718</v>
      </c>
      <c r="Z71" t="s" s="19">
        <v>37</v>
      </c>
      <c r="AA71" t="s" s="15">
        <v>44</v>
      </c>
      <c r="AB71" t="s" s="15">
        <v>45</v>
      </c>
      <c r="AC71" t="s" s="15">
        <v>78</v>
      </c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</row>
    <row r="72" ht="13.55" customHeight="1">
      <c r="A72" t="s" s="13">
        <f t="shared" si="1125" ref="A72:B72">"02988"</f>
        <v>296</v>
      </c>
      <c r="B72" t="s" s="13">
        <f t="shared" si="1125"/>
        <v>296</v>
      </c>
      <c r="C72" t="s" s="13">
        <f t="shared" si="107"/>
        <v>63</v>
      </c>
      <c r="D72" t="s" s="13">
        <f>"ELOUNDOU TSALA"</f>
        <v>297</v>
      </c>
      <c r="E72" t="s" s="13">
        <f>"Dany Alice"</f>
        <v>298</v>
      </c>
      <c r="F72" s="14">
        <v>34946</v>
      </c>
      <c r="G72" s="14">
        <v>44973</v>
      </c>
      <c r="H72" t="s" s="13">
        <f t="shared" si="14"/>
        <v>30</v>
      </c>
      <c r="I72" t="s" s="13">
        <v>74</v>
      </c>
      <c r="J72" t="s" s="13">
        <f t="shared" si="764"/>
        <v>213</v>
      </c>
      <c r="K72" t="s" s="13">
        <f t="shared" si="144"/>
        <v>76</v>
      </c>
      <c r="L72" t="s" s="15">
        <v>77</v>
      </c>
      <c r="M72" t="s" s="13">
        <v>74</v>
      </c>
      <c r="N72" t="s" s="13">
        <v>70</v>
      </c>
      <c r="O72" t="s" s="13">
        <v>36</v>
      </c>
      <c r="P72" s="16">
        <f>G72</f>
        <v>44973</v>
      </c>
      <c r="Q72" s="16">
        <f>P72+364</f>
        <v>45337</v>
      </c>
      <c r="R72" s="16">
        <f>Q72+1</f>
        <v>45338</v>
      </c>
      <c r="S72" s="16">
        <f>R72+29</f>
        <v>45367</v>
      </c>
      <c r="T72" s="17">
        <v>30</v>
      </c>
      <c r="U72" s="18">
        <v>0</v>
      </c>
      <c r="V72" s="18">
        <f>T72-U72</f>
        <v>30</v>
      </c>
      <c r="W72" s="16">
        <f>R72+V72</f>
        <v>45368</v>
      </c>
      <c r="X72" s="16">
        <f>S72+1</f>
        <v>45368</v>
      </c>
      <c r="Y72" s="16">
        <f>X72+365</f>
        <v>45733</v>
      </c>
      <c r="Z72" t="s" s="19">
        <v>37</v>
      </c>
      <c r="AA72" t="s" s="15">
        <v>38</v>
      </c>
      <c r="AB72" t="s" s="15">
        <v>39</v>
      </c>
      <c r="AC72" t="s" s="15">
        <v>78</v>
      </c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</row>
    <row r="73" ht="13.55" customHeight="1">
      <c r="A73" t="s" s="13">
        <f t="shared" si="1141" ref="A73:B73">"02989"</f>
        <v>299</v>
      </c>
      <c r="B73" t="s" s="13">
        <f t="shared" si="1141"/>
        <v>299</v>
      </c>
      <c r="C73" t="s" s="13">
        <f t="shared" si="107"/>
        <v>63</v>
      </c>
      <c r="D73" t="s" s="13">
        <f>"MBOE NGONO"</f>
        <v>300</v>
      </c>
      <c r="E73" t="s" s="13">
        <f>"Marie Chantal"</f>
        <v>301</v>
      </c>
      <c r="F73" s="14">
        <v>37125</v>
      </c>
      <c r="G73" s="14">
        <v>44939</v>
      </c>
      <c r="H73" t="s" s="13">
        <f t="shared" si="14"/>
        <v>30</v>
      </c>
      <c r="I73" t="s" s="13">
        <v>74</v>
      </c>
      <c r="J73" t="s" s="13">
        <f t="shared" si="764"/>
        <v>213</v>
      </c>
      <c r="K73" t="s" s="13">
        <f t="shared" si="144"/>
        <v>76</v>
      </c>
      <c r="L73" t="s" s="15">
        <v>77</v>
      </c>
      <c r="M73" t="s" s="13">
        <v>74</v>
      </c>
      <c r="N73" t="s" s="13">
        <v>70</v>
      </c>
      <c r="O73" t="s" s="13">
        <v>36</v>
      </c>
      <c r="P73" s="16">
        <f>G73</f>
        <v>44939</v>
      </c>
      <c r="Q73" s="16">
        <f>P73+364</f>
        <v>45303</v>
      </c>
      <c r="R73" s="16">
        <f>Q73+1</f>
        <v>45304</v>
      </c>
      <c r="S73" s="16">
        <f>R73+29</f>
        <v>45333</v>
      </c>
      <c r="T73" s="17">
        <v>30</v>
      </c>
      <c r="U73" s="18">
        <v>0</v>
      </c>
      <c r="V73" s="18">
        <f>T73-U73</f>
        <v>30</v>
      </c>
      <c r="W73" s="16">
        <f>R73+V73</f>
        <v>45334</v>
      </c>
      <c r="X73" s="16">
        <f>S73+1</f>
        <v>45334</v>
      </c>
      <c r="Y73" s="16">
        <f>X73+365</f>
        <v>45699</v>
      </c>
      <c r="Z73" t="s" s="19">
        <v>37</v>
      </c>
      <c r="AA73" t="s" s="15">
        <v>38</v>
      </c>
      <c r="AB73" t="s" s="15">
        <v>39</v>
      </c>
      <c r="AC73" t="s" s="15">
        <v>78</v>
      </c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</row>
    <row r="74" ht="13.55" customHeight="1">
      <c r="A74" t="s" s="13">
        <f t="shared" si="1157" ref="A74:B74">"02990"</f>
        <v>302</v>
      </c>
      <c r="B74" t="s" s="13">
        <f t="shared" si="1157"/>
        <v>302</v>
      </c>
      <c r="C74" t="s" s="13">
        <f t="shared" si="107"/>
        <v>63</v>
      </c>
      <c r="D74" t="s" s="13">
        <f>"OMOHOGA NIMAGALINA"</f>
        <v>303</v>
      </c>
      <c r="E74" t="s" s="13">
        <f>"Paule Erica"</f>
        <v>304</v>
      </c>
      <c r="F74" s="14">
        <v>34084</v>
      </c>
      <c r="G74" s="14">
        <v>44970</v>
      </c>
      <c r="H74" t="s" s="13">
        <f t="shared" si="14"/>
        <v>30</v>
      </c>
      <c r="I74" t="s" s="13">
        <v>31</v>
      </c>
      <c r="J74" t="s" s="13">
        <f t="shared" si="127"/>
        <v>69</v>
      </c>
      <c r="K74" t="s" s="13">
        <f t="shared" si="16"/>
        <v>33</v>
      </c>
      <c r="L74" t="s" s="15">
        <v>34</v>
      </c>
      <c r="M74" t="s" s="13">
        <v>31</v>
      </c>
      <c r="N74" t="s" s="13">
        <v>70</v>
      </c>
      <c r="O74" t="s" s="13">
        <v>36</v>
      </c>
      <c r="P74" s="16">
        <f>G74</f>
        <v>44970</v>
      </c>
      <c r="Q74" s="16">
        <f>P74+364</f>
        <v>45334</v>
      </c>
      <c r="R74" s="16">
        <f>Q74+1</f>
        <v>45335</v>
      </c>
      <c r="S74" s="16">
        <f>R74+29</f>
        <v>45364</v>
      </c>
      <c r="T74" s="17">
        <v>30</v>
      </c>
      <c r="U74" s="18">
        <v>0</v>
      </c>
      <c r="V74" s="18">
        <f>T74-U74</f>
        <v>30</v>
      </c>
      <c r="W74" s="16">
        <f>R74+V74</f>
        <v>45365</v>
      </c>
      <c r="X74" s="16">
        <f>S74+1</f>
        <v>45365</v>
      </c>
      <c r="Y74" s="16">
        <f>X74+365</f>
        <v>45730</v>
      </c>
      <c r="Z74" t="s" s="19">
        <v>37</v>
      </c>
      <c r="AA74" t="s" s="15">
        <v>44</v>
      </c>
      <c r="AB74" t="s" s="15">
        <v>45</v>
      </c>
      <c r="AC74" t="s" s="15">
        <v>40</v>
      </c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</row>
    <row r="75" ht="13.55" customHeight="1">
      <c r="A75" t="s" s="13">
        <f t="shared" si="1173" ref="A75:B75">"02991"</f>
        <v>305</v>
      </c>
      <c r="B75" t="s" s="13">
        <f t="shared" si="1173"/>
        <v>305</v>
      </c>
      <c r="C75" t="s" s="13">
        <f t="shared" si="920"/>
        <v>250</v>
      </c>
      <c r="D75" t="s" s="13">
        <f>"ABONDO"</f>
        <v>306</v>
      </c>
      <c r="E75" t="s" s="13">
        <f>"Dorothée Rosine"</f>
        <v>307</v>
      </c>
      <c r="F75" s="14">
        <v>32766</v>
      </c>
      <c r="G75" s="14">
        <v>44970</v>
      </c>
      <c r="H75" t="s" s="13">
        <v>93</v>
      </c>
      <c r="I75" t="s" s="13">
        <v>31</v>
      </c>
      <c r="J75" t="s" s="13">
        <f t="shared" si="127"/>
        <v>69</v>
      </c>
      <c r="K75" t="s" s="13">
        <f t="shared" si="16"/>
        <v>33</v>
      </c>
      <c r="L75" t="s" s="15">
        <v>34</v>
      </c>
      <c r="M75" t="s" s="13">
        <v>31</v>
      </c>
      <c r="N75" t="s" s="13">
        <v>70</v>
      </c>
      <c r="O75" t="s" s="13">
        <v>36</v>
      </c>
      <c r="P75" s="16">
        <f>G75</f>
        <v>44970</v>
      </c>
      <c r="Q75" s="16">
        <f>P75+364</f>
        <v>45334</v>
      </c>
      <c r="R75" s="16">
        <f>Q75+1</f>
        <v>45335</v>
      </c>
      <c r="S75" s="16">
        <f>R75+29</f>
        <v>45364</v>
      </c>
      <c r="T75" s="17">
        <v>30</v>
      </c>
      <c r="U75" s="18">
        <v>0</v>
      </c>
      <c r="V75" s="18">
        <f>T75-U75</f>
        <v>30</v>
      </c>
      <c r="W75" s="16">
        <f>R75+V75</f>
        <v>45365</v>
      </c>
      <c r="X75" s="16">
        <f>S75+1</f>
        <v>45365</v>
      </c>
      <c r="Y75" s="16">
        <f>X75+365</f>
        <v>45730</v>
      </c>
      <c r="Z75" t="s" s="19">
        <v>37</v>
      </c>
      <c r="AA75" t="s" s="15">
        <v>44</v>
      </c>
      <c r="AB75" t="s" s="15">
        <v>45</v>
      </c>
      <c r="AC75" t="s" s="15">
        <v>40</v>
      </c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</row>
    <row r="76" ht="13.55" customHeight="1">
      <c r="A76" t="s" s="13">
        <f t="shared" si="1188" ref="A76:B76">"02992"</f>
        <v>308</v>
      </c>
      <c r="B76" t="s" s="13">
        <f t="shared" si="1188"/>
        <v>308</v>
      </c>
      <c r="C76" t="s" s="13">
        <f t="shared" si="11"/>
        <v>27</v>
      </c>
      <c r="D76" t="s" s="13">
        <f>"OBAMA MENGO"</f>
        <v>309</v>
      </c>
      <c r="E76" t="s" s="13">
        <f>"Mathieu"</f>
        <v>310</v>
      </c>
      <c r="F76" s="14">
        <v>34199</v>
      </c>
      <c r="G76" s="14">
        <v>44970</v>
      </c>
      <c r="H76" t="s" s="13">
        <f t="shared" si="14"/>
        <v>30</v>
      </c>
      <c r="I76" t="s" s="13">
        <v>31</v>
      </c>
      <c r="J76" t="s" s="13">
        <f t="shared" si="127"/>
        <v>69</v>
      </c>
      <c r="K76" t="s" s="13">
        <f t="shared" si="16"/>
        <v>33</v>
      </c>
      <c r="L76" t="s" s="15">
        <v>34</v>
      </c>
      <c r="M76" t="s" s="13">
        <v>31</v>
      </c>
      <c r="N76" t="s" s="13">
        <v>70</v>
      </c>
      <c r="O76" t="s" s="13">
        <v>36</v>
      </c>
      <c r="P76" s="16">
        <f>G76</f>
        <v>44970</v>
      </c>
      <c r="Q76" s="16">
        <f>P76+364</f>
        <v>45334</v>
      </c>
      <c r="R76" s="16">
        <f>Q76+1</f>
        <v>45335</v>
      </c>
      <c r="S76" s="16">
        <f>R76+29</f>
        <v>45364</v>
      </c>
      <c r="T76" s="17">
        <v>30</v>
      </c>
      <c r="U76" s="18">
        <v>0</v>
      </c>
      <c r="V76" s="18">
        <f>T76-U76</f>
        <v>30</v>
      </c>
      <c r="W76" s="16">
        <f>R76+V76</f>
        <v>45365</v>
      </c>
      <c r="X76" s="16">
        <f>S76+1</f>
        <v>45365</v>
      </c>
      <c r="Y76" s="16">
        <f>X76+365</f>
        <v>45730</v>
      </c>
      <c r="Z76" t="s" s="19">
        <v>37</v>
      </c>
      <c r="AA76" t="s" s="15">
        <v>44</v>
      </c>
      <c r="AB76" t="s" s="15">
        <v>45</v>
      </c>
      <c r="AC76" t="s" s="15">
        <v>40</v>
      </c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</row>
    <row r="77" ht="13.55" customHeight="1">
      <c r="A77" t="s" s="13">
        <f t="shared" si="1204" ref="A77:B77">"02993"</f>
        <v>311</v>
      </c>
      <c r="B77" t="s" s="13">
        <f t="shared" si="1204"/>
        <v>311</v>
      </c>
      <c r="C77" t="s" s="13">
        <f t="shared" si="107"/>
        <v>63</v>
      </c>
      <c r="D77" t="s" s="13">
        <f>"MANGA"</f>
        <v>312</v>
      </c>
      <c r="E77" t="s" s="13">
        <f>"Emilie Caroline"</f>
        <v>313</v>
      </c>
      <c r="F77" s="14">
        <v>31068</v>
      </c>
      <c r="G77" s="14">
        <v>44971</v>
      </c>
      <c r="H77" t="s" s="13">
        <f t="shared" si="14"/>
        <v>30</v>
      </c>
      <c r="I77" t="s" s="13">
        <v>31</v>
      </c>
      <c r="J77" t="s" s="13">
        <f t="shared" si="127"/>
        <v>69</v>
      </c>
      <c r="K77" t="s" s="13">
        <f t="shared" si="16"/>
        <v>33</v>
      </c>
      <c r="L77" t="s" s="15">
        <v>34</v>
      </c>
      <c r="M77" t="s" s="13">
        <v>31</v>
      </c>
      <c r="N77" t="s" s="13">
        <v>70</v>
      </c>
      <c r="O77" t="s" s="13">
        <v>36</v>
      </c>
      <c r="P77" s="16">
        <f>G77</f>
        <v>44971</v>
      </c>
      <c r="Q77" s="16">
        <f>P77+364</f>
        <v>45335</v>
      </c>
      <c r="R77" s="16">
        <f>Q77+1</f>
        <v>45336</v>
      </c>
      <c r="S77" s="16">
        <f>R77+29</f>
        <v>45365</v>
      </c>
      <c r="T77" s="17">
        <v>30</v>
      </c>
      <c r="U77" s="18">
        <v>0</v>
      </c>
      <c r="V77" s="18">
        <f>T77-U77</f>
        <v>30</v>
      </c>
      <c r="W77" s="16">
        <f>R77+V77</f>
        <v>45366</v>
      </c>
      <c r="X77" s="16">
        <f>S77+1</f>
        <v>45366</v>
      </c>
      <c r="Y77" s="16">
        <f>X77+365</f>
        <v>45731</v>
      </c>
      <c r="Z77" s="21"/>
      <c r="AA77" t="s" s="15">
        <v>44</v>
      </c>
      <c r="AB77" t="s" s="15">
        <v>45</v>
      </c>
      <c r="AC77" t="s" s="15">
        <v>40</v>
      </c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</row>
    <row r="78" ht="13.55" customHeight="1">
      <c r="A78" t="s" s="13">
        <f t="shared" si="1220" ref="A78:B78">"02994"</f>
        <v>314</v>
      </c>
      <c r="B78" t="s" s="13">
        <f t="shared" si="1220"/>
        <v>314</v>
      </c>
      <c r="C78" t="s" s="13">
        <f t="shared" si="11"/>
        <v>27</v>
      </c>
      <c r="D78" t="s" s="13">
        <f>"NTAMACK II"</f>
        <v>315</v>
      </c>
      <c r="E78" t="s" s="13">
        <f>"Narcisse"</f>
        <v>316</v>
      </c>
      <c r="F78" s="14">
        <v>33137</v>
      </c>
      <c r="G78" s="14">
        <v>44971</v>
      </c>
      <c r="H78" t="s" s="13">
        <f t="shared" si="14"/>
        <v>30</v>
      </c>
      <c r="I78" t="s" s="13">
        <v>31</v>
      </c>
      <c r="J78" t="s" s="13">
        <f t="shared" si="159"/>
        <v>82</v>
      </c>
      <c r="K78" t="s" s="13">
        <f t="shared" si="16"/>
        <v>33</v>
      </c>
      <c r="L78" t="s" s="15">
        <v>34</v>
      </c>
      <c r="M78" t="s" s="13">
        <v>31</v>
      </c>
      <c r="N78" t="s" s="13">
        <v>35</v>
      </c>
      <c r="O78" t="s" s="13">
        <v>83</v>
      </c>
      <c r="P78" s="16">
        <f>G78</f>
        <v>44971</v>
      </c>
      <c r="Q78" s="16">
        <f>P78+364</f>
        <v>45335</v>
      </c>
      <c r="R78" s="16">
        <f>Q78+1</f>
        <v>45336</v>
      </c>
      <c r="S78" s="16">
        <f>R78+29</f>
        <v>45365</v>
      </c>
      <c r="T78" s="17">
        <v>30</v>
      </c>
      <c r="U78" s="18">
        <v>0</v>
      </c>
      <c r="V78" s="18">
        <f>T78-U78</f>
        <v>30</v>
      </c>
      <c r="W78" s="16">
        <f>R78+V78</f>
        <v>45366</v>
      </c>
      <c r="X78" s="16">
        <f>S78+1</f>
        <v>45366</v>
      </c>
      <c r="Y78" s="16">
        <f>X78+365</f>
        <v>45731</v>
      </c>
      <c r="Z78" t="s" s="19">
        <v>37</v>
      </c>
      <c r="AA78" t="s" s="15">
        <v>38</v>
      </c>
      <c r="AB78" t="s" s="15">
        <v>39</v>
      </c>
      <c r="AC78" t="s" s="15">
        <v>40</v>
      </c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</row>
    <row r="79" ht="13.55" customHeight="1">
      <c r="A79" t="s" s="13">
        <f t="shared" si="1236" ref="A79:B79">"02995"</f>
        <v>317</v>
      </c>
      <c r="B79" t="s" s="13">
        <f t="shared" si="1236"/>
        <v>317</v>
      </c>
      <c r="C79" t="s" s="13">
        <f t="shared" si="11"/>
        <v>27</v>
      </c>
      <c r="D79" t="s" s="13">
        <f>"BILLE"</f>
        <v>318</v>
      </c>
      <c r="E79" t="s" s="13">
        <f>"Oscar Gaël"</f>
        <v>319</v>
      </c>
      <c r="F79" s="14">
        <v>32965</v>
      </c>
      <c r="G79" s="14">
        <v>44970</v>
      </c>
      <c r="H79" t="s" s="13">
        <f t="shared" si="14"/>
        <v>30</v>
      </c>
      <c r="I79" t="s" s="13">
        <v>31</v>
      </c>
      <c r="J79" t="s" s="13">
        <f t="shared" si="159"/>
        <v>82</v>
      </c>
      <c r="K79" t="s" s="13">
        <f t="shared" si="16"/>
        <v>33</v>
      </c>
      <c r="L79" t="s" s="15">
        <v>34</v>
      </c>
      <c r="M79" t="s" s="13">
        <v>31</v>
      </c>
      <c r="N79" t="s" s="13">
        <v>35</v>
      </c>
      <c r="O79" t="s" s="13">
        <v>83</v>
      </c>
      <c r="P79" s="16">
        <f>G79</f>
        <v>44970</v>
      </c>
      <c r="Q79" s="16">
        <f>P79+364</f>
        <v>45334</v>
      </c>
      <c r="R79" s="16">
        <f>Q79+1</f>
        <v>45335</v>
      </c>
      <c r="S79" s="16">
        <f>R79+29</f>
        <v>45364</v>
      </c>
      <c r="T79" s="17">
        <v>30</v>
      </c>
      <c r="U79" s="18">
        <v>0</v>
      </c>
      <c r="V79" s="18">
        <f>T79-U79</f>
        <v>30</v>
      </c>
      <c r="W79" s="16">
        <f>R79+V79</f>
        <v>45365</v>
      </c>
      <c r="X79" s="16">
        <f>S79+1</f>
        <v>45365</v>
      </c>
      <c r="Y79" s="16">
        <f>X79+365</f>
        <v>45730</v>
      </c>
      <c r="Z79" s="22"/>
      <c r="AA79" t="s" s="15">
        <v>44</v>
      </c>
      <c r="AB79" t="s" s="15">
        <v>45</v>
      </c>
      <c r="AC79" t="s" s="15">
        <v>40</v>
      </c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</row>
    <row r="80" ht="13.55" customHeight="1">
      <c r="A80" t="s" s="13">
        <f t="shared" si="1252" ref="A80:B80">"02996"</f>
        <v>320</v>
      </c>
      <c r="B80" t="s" s="13">
        <f t="shared" si="1252"/>
        <v>320</v>
      </c>
      <c r="C80" t="s" s="13">
        <f t="shared" si="11"/>
        <v>27</v>
      </c>
      <c r="D80" t="s" s="13">
        <f>"LEBOGO MBIDA"</f>
        <v>321</v>
      </c>
      <c r="E80" t="s" s="13">
        <f>"Mathieu Victoire"</f>
        <v>322</v>
      </c>
      <c r="F80" s="14">
        <v>34284</v>
      </c>
      <c r="G80" s="14">
        <v>44957</v>
      </c>
      <c r="H80" t="s" s="13">
        <f t="shared" si="14"/>
        <v>30</v>
      </c>
      <c r="I80" t="s" s="13">
        <v>31</v>
      </c>
      <c r="J80" t="s" s="13">
        <f t="shared" si="222"/>
        <v>98</v>
      </c>
      <c r="K80" t="s" s="13">
        <f t="shared" si="16"/>
        <v>33</v>
      </c>
      <c r="L80" t="s" s="15">
        <v>34</v>
      </c>
      <c r="M80" t="s" s="13">
        <v>31</v>
      </c>
      <c r="N80" t="s" s="13">
        <v>35</v>
      </c>
      <c r="O80" t="s" s="13">
        <v>83</v>
      </c>
      <c r="P80" s="16">
        <f>G80</f>
        <v>44957</v>
      </c>
      <c r="Q80" s="16">
        <f>P80+364</f>
        <v>45321</v>
      </c>
      <c r="R80" s="16">
        <f>Q80+1</f>
        <v>45322</v>
      </c>
      <c r="S80" s="16">
        <f>R80+29</f>
        <v>45351</v>
      </c>
      <c r="T80" s="17">
        <v>30</v>
      </c>
      <c r="U80" s="18">
        <v>0</v>
      </c>
      <c r="V80" s="18">
        <f>T80-U80</f>
        <v>30</v>
      </c>
      <c r="W80" s="16">
        <f>R80+V80</f>
        <v>45352</v>
      </c>
      <c r="X80" s="16">
        <f>S80+1</f>
        <v>45352</v>
      </c>
      <c r="Y80" s="16">
        <f>X80+365</f>
        <v>45717</v>
      </c>
      <c r="Z80" t="s" s="19">
        <v>37</v>
      </c>
      <c r="AA80" t="s" s="15">
        <v>44</v>
      </c>
      <c r="AB80" t="s" s="15">
        <v>45</v>
      </c>
      <c r="AC80" t="s" s="15">
        <v>40</v>
      </c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</row>
    <row r="81" ht="13.55" customHeight="1">
      <c r="A81" t="s" s="13">
        <f t="shared" si="1268" ref="A81:B81">"02997"</f>
        <v>323</v>
      </c>
      <c r="B81" t="s" s="13">
        <f t="shared" si="1268"/>
        <v>323</v>
      </c>
      <c r="C81" t="s" s="13">
        <f t="shared" si="11"/>
        <v>27</v>
      </c>
      <c r="D81" t="s" s="13">
        <f>"EKANI EKANI"</f>
        <v>324</v>
      </c>
      <c r="E81" t="s" s="13">
        <f>"Louis Eric"</f>
        <v>325</v>
      </c>
      <c r="F81" s="14">
        <v>32596</v>
      </c>
      <c r="G81" s="14">
        <v>44957</v>
      </c>
      <c r="H81" t="s" s="13">
        <f t="shared" si="14"/>
        <v>30</v>
      </c>
      <c r="I81" t="s" s="13">
        <v>31</v>
      </c>
      <c r="J81" t="s" s="13">
        <f t="shared" si="222"/>
        <v>98</v>
      </c>
      <c r="K81" t="s" s="13">
        <f t="shared" si="16"/>
        <v>33</v>
      </c>
      <c r="L81" t="s" s="15">
        <v>34</v>
      </c>
      <c r="M81" t="s" s="13">
        <v>31</v>
      </c>
      <c r="N81" t="s" s="13">
        <v>35</v>
      </c>
      <c r="O81" t="s" s="13">
        <v>83</v>
      </c>
      <c r="P81" s="16">
        <f>G81</f>
        <v>44957</v>
      </c>
      <c r="Q81" s="16">
        <f>P81+364</f>
        <v>45321</v>
      </c>
      <c r="R81" s="16">
        <f>Q81+1</f>
        <v>45322</v>
      </c>
      <c r="S81" s="16">
        <f>R81+29</f>
        <v>45351</v>
      </c>
      <c r="T81" s="17">
        <v>30</v>
      </c>
      <c r="U81" s="18">
        <v>0</v>
      </c>
      <c r="V81" s="18">
        <f>T81-U81</f>
        <v>30</v>
      </c>
      <c r="W81" s="16">
        <f>R81+V81</f>
        <v>45352</v>
      </c>
      <c r="X81" s="16">
        <f>S81+1</f>
        <v>45352</v>
      </c>
      <c r="Y81" s="16">
        <f>X81+365</f>
        <v>45717</v>
      </c>
      <c r="Z81" t="s" s="19">
        <v>37</v>
      </c>
      <c r="AA81" t="s" s="15">
        <v>44</v>
      </c>
      <c r="AB81" t="s" s="15">
        <v>45</v>
      </c>
      <c r="AC81" t="s" s="15">
        <v>40</v>
      </c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</row>
    <row r="82" ht="13.55" customHeight="1">
      <c r="A82" t="s" s="13">
        <f t="shared" si="1284" ref="A82:B82">"02998"</f>
        <v>326</v>
      </c>
      <c r="B82" t="s" s="13">
        <f t="shared" si="1284"/>
        <v>326</v>
      </c>
      <c r="C82" t="s" s="13">
        <f t="shared" si="11"/>
        <v>27</v>
      </c>
      <c r="D82" t="s" s="13">
        <f>"AMOUGOU ANYOUZO'A"</f>
        <v>327</v>
      </c>
      <c r="E82" t="s" s="13">
        <f>"René Kevin"</f>
        <v>328</v>
      </c>
      <c r="F82" s="14">
        <v>34668</v>
      </c>
      <c r="G82" s="14">
        <v>44957</v>
      </c>
      <c r="H82" t="s" s="13">
        <f t="shared" si="14"/>
        <v>30</v>
      </c>
      <c r="I82" t="s" s="13">
        <v>31</v>
      </c>
      <c r="J82" t="s" s="13">
        <f t="shared" si="222"/>
        <v>98</v>
      </c>
      <c r="K82" t="s" s="13">
        <f t="shared" si="16"/>
        <v>33</v>
      </c>
      <c r="L82" t="s" s="15">
        <v>34</v>
      </c>
      <c r="M82" t="s" s="13">
        <v>31</v>
      </c>
      <c r="N82" t="s" s="13">
        <v>35</v>
      </c>
      <c r="O82" t="s" s="13">
        <v>83</v>
      </c>
      <c r="P82" s="16">
        <f>G82</f>
        <v>44957</v>
      </c>
      <c r="Q82" s="16">
        <f>P82+364</f>
        <v>45321</v>
      </c>
      <c r="R82" s="16">
        <f>Q82+1</f>
        <v>45322</v>
      </c>
      <c r="S82" s="16">
        <f>R82+29</f>
        <v>45351</v>
      </c>
      <c r="T82" s="17">
        <v>30</v>
      </c>
      <c r="U82" s="18">
        <v>0</v>
      </c>
      <c r="V82" s="18">
        <f>T82-U82</f>
        <v>30</v>
      </c>
      <c r="W82" s="16">
        <f>R82+V82</f>
        <v>45352</v>
      </c>
      <c r="X82" s="16">
        <f>S82+1</f>
        <v>45352</v>
      </c>
      <c r="Y82" s="16">
        <f>X82+365</f>
        <v>45717</v>
      </c>
      <c r="Z82" s="21"/>
      <c r="AA82" t="s" s="15">
        <v>44</v>
      </c>
      <c r="AB82" t="s" s="15">
        <v>45</v>
      </c>
      <c r="AC82" t="s" s="15">
        <v>40</v>
      </c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</row>
    <row r="83" ht="13.55" customHeight="1">
      <c r="A83" t="s" s="13">
        <f t="shared" si="1300" ref="A83:B83">"02999"</f>
        <v>329</v>
      </c>
      <c r="B83" t="s" s="13">
        <f t="shared" si="1300"/>
        <v>329</v>
      </c>
      <c r="C83" t="s" s="13">
        <f t="shared" si="11"/>
        <v>27</v>
      </c>
      <c r="D83" t="s" s="13">
        <f>"SANY MBIH DIM"</f>
        <v>330</v>
      </c>
      <c r="E83" t="s" s="13">
        <f>"Emmanuel Aurélien"</f>
        <v>331</v>
      </c>
      <c r="F83" s="14">
        <v>36341</v>
      </c>
      <c r="G83" s="14">
        <v>44957</v>
      </c>
      <c r="H83" t="s" s="13">
        <f t="shared" si="14"/>
        <v>30</v>
      </c>
      <c r="I83" t="s" s="13">
        <v>31</v>
      </c>
      <c r="J83" t="s" s="13">
        <f t="shared" si="222"/>
        <v>98</v>
      </c>
      <c r="K83" t="s" s="13">
        <f t="shared" si="16"/>
        <v>33</v>
      </c>
      <c r="L83" t="s" s="15">
        <v>34</v>
      </c>
      <c r="M83" t="s" s="13">
        <v>31</v>
      </c>
      <c r="N83" t="s" s="13">
        <v>35</v>
      </c>
      <c r="O83" t="s" s="13">
        <v>83</v>
      </c>
      <c r="P83" s="16">
        <f>G83</f>
        <v>44957</v>
      </c>
      <c r="Q83" s="16">
        <f>P83+364</f>
        <v>45321</v>
      </c>
      <c r="R83" s="16">
        <f>Q83+1</f>
        <v>45322</v>
      </c>
      <c r="S83" s="16">
        <f>R83+29</f>
        <v>45351</v>
      </c>
      <c r="T83" s="17">
        <v>30</v>
      </c>
      <c r="U83" s="18">
        <v>0</v>
      </c>
      <c r="V83" s="18">
        <f>T83-U83</f>
        <v>30</v>
      </c>
      <c r="W83" s="16">
        <f>R83+V83</f>
        <v>45352</v>
      </c>
      <c r="X83" s="16">
        <f>S83+1</f>
        <v>45352</v>
      </c>
      <c r="Y83" s="16">
        <f>X83+365</f>
        <v>45717</v>
      </c>
      <c r="Z83" t="s" s="19">
        <v>37</v>
      </c>
      <c r="AA83" t="s" s="15">
        <v>38</v>
      </c>
      <c r="AB83" t="s" s="15">
        <v>39</v>
      </c>
      <c r="AC83" t="s" s="15">
        <v>40</v>
      </c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</row>
    <row r="84" ht="13.55" customHeight="1">
      <c r="A84" t="s" s="13">
        <f t="shared" si="1316" ref="A84:B84">"03000"</f>
        <v>332</v>
      </c>
      <c r="B84" t="s" s="13">
        <f t="shared" si="1316"/>
        <v>332</v>
      </c>
      <c r="C84" t="s" s="13">
        <f t="shared" si="11"/>
        <v>27</v>
      </c>
      <c r="D84" t="s" s="13">
        <f>"ONANA EDOUGUE"</f>
        <v>333</v>
      </c>
      <c r="E84" t="s" s="13">
        <f>"Emmanuel"</f>
        <v>334</v>
      </c>
      <c r="F84" s="14">
        <v>33232</v>
      </c>
      <c r="G84" s="14">
        <v>44957</v>
      </c>
      <c r="H84" t="s" s="13">
        <f t="shared" si="14"/>
        <v>30</v>
      </c>
      <c r="I84" t="s" s="13">
        <v>31</v>
      </c>
      <c r="J84" t="s" s="13">
        <f t="shared" si="222"/>
        <v>98</v>
      </c>
      <c r="K84" t="s" s="13">
        <f t="shared" si="16"/>
        <v>33</v>
      </c>
      <c r="L84" t="s" s="15">
        <v>34</v>
      </c>
      <c r="M84" t="s" s="13">
        <v>31</v>
      </c>
      <c r="N84" t="s" s="13">
        <v>35</v>
      </c>
      <c r="O84" t="s" s="13">
        <v>83</v>
      </c>
      <c r="P84" s="16">
        <f>G84</f>
        <v>44957</v>
      </c>
      <c r="Q84" s="16">
        <f>P84+364</f>
        <v>45321</v>
      </c>
      <c r="R84" s="16">
        <f>Q84+1</f>
        <v>45322</v>
      </c>
      <c r="S84" s="16">
        <f>R84+29</f>
        <v>45351</v>
      </c>
      <c r="T84" s="17">
        <v>30</v>
      </c>
      <c r="U84" s="18">
        <v>0</v>
      </c>
      <c r="V84" s="18">
        <f>T84-U84</f>
        <v>30</v>
      </c>
      <c r="W84" s="16">
        <f>R84+V84</f>
        <v>45352</v>
      </c>
      <c r="X84" s="16">
        <f>S84+1</f>
        <v>45352</v>
      </c>
      <c r="Y84" s="16">
        <f>X84+365</f>
        <v>45717</v>
      </c>
      <c r="Z84" s="22"/>
      <c r="AA84" t="s" s="15">
        <v>38</v>
      </c>
      <c r="AB84" t="s" s="15">
        <v>39</v>
      </c>
      <c r="AC84" t="s" s="15">
        <v>40</v>
      </c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</row>
    <row r="85" ht="13.55" customHeight="1">
      <c r="A85" t="s" s="13">
        <f t="shared" si="1332" ref="A85:B85">"03001"</f>
        <v>335</v>
      </c>
      <c r="B85" t="s" s="13">
        <f t="shared" si="1332"/>
        <v>335</v>
      </c>
      <c r="C85" t="s" s="13">
        <f t="shared" si="11"/>
        <v>27</v>
      </c>
      <c r="D85" t="s" s="13">
        <f>"ZANGA EYEBE"</f>
        <v>336</v>
      </c>
      <c r="E85" t="s" s="13">
        <f>"Aloys Roland"</f>
        <v>337</v>
      </c>
      <c r="F85" s="14">
        <v>35471</v>
      </c>
      <c r="G85" s="14">
        <v>44957</v>
      </c>
      <c r="H85" t="s" s="13">
        <f t="shared" si="14"/>
        <v>30</v>
      </c>
      <c r="I85" t="s" s="13">
        <v>31</v>
      </c>
      <c r="J85" t="s" s="13">
        <f t="shared" si="222"/>
        <v>98</v>
      </c>
      <c r="K85" t="s" s="13">
        <f t="shared" si="16"/>
        <v>33</v>
      </c>
      <c r="L85" t="s" s="15">
        <v>34</v>
      </c>
      <c r="M85" t="s" s="13">
        <v>31</v>
      </c>
      <c r="N85" t="s" s="13">
        <v>35</v>
      </c>
      <c r="O85" t="s" s="13">
        <v>83</v>
      </c>
      <c r="P85" s="16">
        <f>G85</f>
        <v>44957</v>
      </c>
      <c r="Q85" s="16">
        <f>P85+364</f>
        <v>45321</v>
      </c>
      <c r="R85" s="16">
        <f>Q85+1</f>
        <v>45322</v>
      </c>
      <c r="S85" s="16">
        <f>R85+29</f>
        <v>45351</v>
      </c>
      <c r="T85" s="17">
        <v>30</v>
      </c>
      <c r="U85" s="18">
        <v>0</v>
      </c>
      <c r="V85" s="18">
        <f>T85-U85</f>
        <v>30</v>
      </c>
      <c r="W85" s="16">
        <f>R85+V85</f>
        <v>45352</v>
      </c>
      <c r="X85" s="16">
        <f>S85+1</f>
        <v>45352</v>
      </c>
      <c r="Y85" s="16">
        <f>X85+365</f>
        <v>45717</v>
      </c>
      <c r="Z85" s="22"/>
      <c r="AA85" t="s" s="15">
        <v>44</v>
      </c>
      <c r="AB85" t="s" s="15">
        <v>45</v>
      </c>
      <c r="AC85" t="s" s="15">
        <v>40</v>
      </c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</row>
    <row r="86" ht="13.55" customHeight="1">
      <c r="A86" t="s" s="13">
        <f t="shared" si="1348" ref="A86:B86">"03002"</f>
        <v>338</v>
      </c>
      <c r="B86" t="s" s="13">
        <f t="shared" si="1348"/>
        <v>338</v>
      </c>
      <c r="C86" t="s" s="13">
        <f t="shared" si="11"/>
        <v>27</v>
      </c>
      <c r="D86" t="s" s="13">
        <f>"MOHAMAN AWAL"</f>
        <v>339</v>
      </c>
      <c r="E86" t="s" s="13">
        <f t="shared" si="61"/>
      </c>
      <c r="F86" s="14">
        <v>32810</v>
      </c>
      <c r="G86" s="14">
        <v>44957</v>
      </c>
      <c r="H86" t="s" s="13">
        <f t="shared" si="14"/>
        <v>30</v>
      </c>
      <c r="I86" t="s" s="13">
        <v>31</v>
      </c>
      <c r="J86" t="s" s="13">
        <f t="shared" si="222"/>
        <v>98</v>
      </c>
      <c r="K86" t="s" s="13">
        <f t="shared" si="16"/>
        <v>33</v>
      </c>
      <c r="L86" t="s" s="15">
        <v>34</v>
      </c>
      <c r="M86" t="s" s="13">
        <v>31</v>
      </c>
      <c r="N86" t="s" s="13">
        <v>35</v>
      </c>
      <c r="O86" t="s" s="13">
        <v>83</v>
      </c>
      <c r="P86" s="16">
        <f>G86</f>
        <v>44957</v>
      </c>
      <c r="Q86" s="16">
        <f>P86+364</f>
        <v>45321</v>
      </c>
      <c r="R86" s="16">
        <f>Q86+1</f>
        <v>45322</v>
      </c>
      <c r="S86" s="16">
        <f>R86+29</f>
        <v>45351</v>
      </c>
      <c r="T86" s="17">
        <v>30</v>
      </c>
      <c r="U86" s="18">
        <v>0</v>
      </c>
      <c r="V86" s="18">
        <f>T86-U86</f>
        <v>30</v>
      </c>
      <c r="W86" s="16">
        <f>R86+V86</f>
        <v>45352</v>
      </c>
      <c r="X86" s="16">
        <f>S86+1</f>
        <v>45352</v>
      </c>
      <c r="Y86" s="16">
        <f>X86+365</f>
        <v>45717</v>
      </c>
      <c r="Z86" s="22"/>
      <c r="AA86" t="s" s="15">
        <v>38</v>
      </c>
      <c r="AB86" t="s" s="15">
        <v>39</v>
      </c>
      <c r="AC86" t="s" s="15">
        <v>40</v>
      </c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</row>
    <row r="87" ht="13.55" customHeight="1">
      <c r="A87" t="s" s="13">
        <f t="shared" si="1364" ref="A87:B87">"03003"</f>
        <v>340</v>
      </c>
      <c r="B87" t="s" s="13">
        <f t="shared" si="1364"/>
        <v>340</v>
      </c>
      <c r="C87" t="s" s="13">
        <f t="shared" si="11"/>
        <v>27</v>
      </c>
      <c r="D87" t="s" s="13">
        <f>"BINDELE"</f>
        <v>341</v>
      </c>
      <c r="E87" t="s" s="13">
        <f>"Maximilien Junior"</f>
        <v>342</v>
      </c>
      <c r="F87" s="14">
        <v>35018</v>
      </c>
      <c r="G87" s="14">
        <v>44957</v>
      </c>
      <c r="H87" t="s" s="13">
        <f t="shared" si="14"/>
        <v>30</v>
      </c>
      <c r="I87" t="s" s="13">
        <v>31</v>
      </c>
      <c r="J87" t="s" s="13">
        <f t="shared" si="222"/>
        <v>98</v>
      </c>
      <c r="K87" t="s" s="13">
        <f t="shared" si="16"/>
        <v>33</v>
      </c>
      <c r="L87" t="s" s="15">
        <v>34</v>
      </c>
      <c r="M87" t="s" s="13">
        <v>31</v>
      </c>
      <c r="N87" t="s" s="13">
        <v>35</v>
      </c>
      <c r="O87" t="s" s="13">
        <v>83</v>
      </c>
      <c r="P87" s="16">
        <f>G87</f>
        <v>44957</v>
      </c>
      <c r="Q87" s="16">
        <f>P87+364</f>
        <v>45321</v>
      </c>
      <c r="R87" s="16">
        <f>Q87+1</f>
        <v>45322</v>
      </c>
      <c r="S87" s="16">
        <f>R87+29</f>
        <v>45351</v>
      </c>
      <c r="T87" s="17">
        <v>30</v>
      </c>
      <c r="U87" s="18">
        <v>0</v>
      </c>
      <c r="V87" s="18">
        <f>T87-U87</f>
        <v>30</v>
      </c>
      <c r="W87" s="16">
        <f>R87+V87</f>
        <v>45352</v>
      </c>
      <c r="X87" s="16">
        <f>S87+1</f>
        <v>45352</v>
      </c>
      <c r="Y87" s="16">
        <f>X87+365</f>
        <v>45717</v>
      </c>
      <c r="Z87" t="s" s="19">
        <v>37</v>
      </c>
      <c r="AA87" t="s" s="15">
        <v>44</v>
      </c>
      <c r="AB87" t="s" s="15">
        <v>45</v>
      </c>
      <c r="AC87" t="s" s="15">
        <v>40</v>
      </c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</row>
    <row r="88" ht="13.55" customHeight="1">
      <c r="A88" t="s" s="13">
        <f t="shared" si="1380" ref="A88:B88">"03005"</f>
        <v>343</v>
      </c>
      <c r="B88" t="s" s="13">
        <f t="shared" si="1380"/>
        <v>343</v>
      </c>
      <c r="C88" t="s" s="13">
        <f t="shared" si="11"/>
        <v>27</v>
      </c>
      <c r="D88" t="s" s="13">
        <f>"MOHAMAN KORAMOU ABDOULAYE"</f>
        <v>344</v>
      </c>
      <c r="E88" t="s" s="13">
        <f t="shared" si="61"/>
      </c>
      <c r="F88" s="14">
        <v>33556</v>
      </c>
      <c r="G88" s="14">
        <v>44963</v>
      </c>
      <c r="H88" t="s" s="13">
        <f t="shared" si="14"/>
        <v>30</v>
      </c>
      <c r="I88" t="s" s="13">
        <v>31</v>
      </c>
      <c r="J88" t="s" s="13">
        <f t="shared" si="222"/>
        <v>98</v>
      </c>
      <c r="K88" t="s" s="13">
        <f t="shared" si="16"/>
        <v>33</v>
      </c>
      <c r="L88" t="s" s="15">
        <v>34</v>
      </c>
      <c r="M88" t="s" s="13">
        <v>31</v>
      </c>
      <c r="N88" t="s" s="13">
        <v>35</v>
      </c>
      <c r="O88" t="s" s="13">
        <v>83</v>
      </c>
      <c r="P88" s="16">
        <f>G88</f>
        <v>44963</v>
      </c>
      <c r="Q88" s="16">
        <f>P88+364</f>
        <v>45327</v>
      </c>
      <c r="R88" s="16">
        <f>Q88+1</f>
        <v>45328</v>
      </c>
      <c r="S88" s="16">
        <f>R88+29</f>
        <v>45357</v>
      </c>
      <c r="T88" s="17">
        <v>30</v>
      </c>
      <c r="U88" s="18">
        <v>0</v>
      </c>
      <c r="V88" s="18">
        <f>T88-U88</f>
        <v>30</v>
      </c>
      <c r="W88" s="16">
        <f>R88+V88</f>
        <v>45358</v>
      </c>
      <c r="X88" s="16">
        <f>S88+1</f>
        <v>45358</v>
      </c>
      <c r="Y88" s="16">
        <f>X88+365</f>
        <v>45723</v>
      </c>
      <c r="Z88" t="s" s="19">
        <v>37</v>
      </c>
      <c r="AA88" t="s" s="15">
        <v>44</v>
      </c>
      <c r="AB88" t="s" s="15">
        <v>45</v>
      </c>
      <c r="AC88" t="s" s="15">
        <v>40</v>
      </c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</row>
    <row r="89" ht="13.55" customHeight="1">
      <c r="A89" t="s" s="13">
        <f t="shared" si="1396" ref="A89:B89">"03006"</f>
        <v>345</v>
      </c>
      <c r="B89" t="s" s="13">
        <f t="shared" si="1396"/>
        <v>345</v>
      </c>
      <c r="C89" t="s" s="13">
        <f t="shared" si="11"/>
        <v>27</v>
      </c>
      <c r="D89" t="s" s="13">
        <f>"MOUELLE EKWA"</f>
        <v>346</v>
      </c>
      <c r="E89" t="s" s="13">
        <f>"Marcel"</f>
        <v>347</v>
      </c>
      <c r="F89" s="14">
        <v>30947</v>
      </c>
      <c r="G89" s="14">
        <v>44951</v>
      </c>
      <c r="H89" t="s" s="13">
        <f t="shared" si="14"/>
        <v>30</v>
      </c>
      <c r="I89" t="s" s="13">
        <v>31</v>
      </c>
      <c r="J89" t="s" s="13">
        <f t="shared" si="15"/>
        <v>32</v>
      </c>
      <c r="K89" t="s" s="13">
        <f t="shared" si="16"/>
        <v>33</v>
      </c>
      <c r="L89" t="s" s="15">
        <v>34</v>
      </c>
      <c r="M89" t="s" s="13">
        <v>31</v>
      </c>
      <c r="N89" t="s" s="13">
        <v>99</v>
      </c>
      <c r="O89" t="s" s="13">
        <v>83</v>
      </c>
      <c r="P89" s="16">
        <f>G89</f>
        <v>44951</v>
      </c>
      <c r="Q89" s="16">
        <f>P89+364</f>
        <v>45315</v>
      </c>
      <c r="R89" s="16">
        <f>Q89+1</f>
        <v>45316</v>
      </c>
      <c r="S89" s="16">
        <f>R89+29</f>
        <v>45345</v>
      </c>
      <c r="T89" s="17">
        <v>30</v>
      </c>
      <c r="U89" s="18">
        <v>0</v>
      </c>
      <c r="V89" s="18">
        <f>T89-U89</f>
        <v>30</v>
      </c>
      <c r="W89" s="16">
        <f>R89+V89</f>
        <v>45346</v>
      </c>
      <c r="X89" s="16">
        <f>S89+1</f>
        <v>45346</v>
      </c>
      <c r="Y89" s="16">
        <f>X89+365</f>
        <v>45711</v>
      </c>
      <c r="Z89" s="21"/>
      <c r="AA89" t="s" s="15">
        <v>44</v>
      </c>
      <c r="AB89" t="s" s="15">
        <v>45</v>
      </c>
      <c r="AC89" t="s" s="15">
        <v>40</v>
      </c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</row>
    <row r="90" ht="13.55" customHeight="1">
      <c r="A90" t="s" s="13">
        <f t="shared" si="1412" ref="A90:B90">"03007"</f>
        <v>348</v>
      </c>
      <c r="B90" t="s" s="13">
        <f t="shared" si="1412"/>
        <v>348</v>
      </c>
      <c r="C90" t="s" s="13">
        <f t="shared" si="11"/>
        <v>27</v>
      </c>
      <c r="D90" t="s" s="13">
        <f>"ASSIENE ASSIENE"</f>
        <v>349</v>
      </c>
      <c r="E90" t="s" s="13">
        <f>"Philippe II"</f>
        <v>350</v>
      </c>
      <c r="F90" s="14">
        <v>33127</v>
      </c>
      <c r="G90" s="14">
        <v>44946</v>
      </c>
      <c r="H90" t="s" s="13">
        <f t="shared" si="14"/>
        <v>30</v>
      </c>
      <c r="I90" t="s" s="13">
        <v>31</v>
      </c>
      <c r="J90" t="s" s="13">
        <f t="shared" si="15"/>
        <v>32</v>
      </c>
      <c r="K90" t="s" s="13">
        <f t="shared" si="16"/>
        <v>33</v>
      </c>
      <c r="L90" t="s" s="15">
        <v>34</v>
      </c>
      <c r="M90" t="s" s="13">
        <v>31</v>
      </c>
      <c r="N90" t="s" s="13">
        <v>99</v>
      </c>
      <c r="O90" t="s" s="13">
        <v>83</v>
      </c>
      <c r="P90" s="16">
        <f>G90</f>
        <v>44946</v>
      </c>
      <c r="Q90" s="16">
        <f>P90+364</f>
        <v>45310</v>
      </c>
      <c r="R90" s="16">
        <f>Q90+1</f>
        <v>45311</v>
      </c>
      <c r="S90" s="16">
        <f>R90+29</f>
        <v>45340</v>
      </c>
      <c r="T90" s="17">
        <v>30</v>
      </c>
      <c r="U90" s="18">
        <v>0</v>
      </c>
      <c r="V90" s="18">
        <f>T90-U90</f>
        <v>30</v>
      </c>
      <c r="W90" s="16">
        <f>R90+V90</f>
        <v>45341</v>
      </c>
      <c r="X90" s="16">
        <f>S90+1</f>
        <v>45341</v>
      </c>
      <c r="Y90" s="16">
        <f>X90+365</f>
        <v>45706</v>
      </c>
      <c r="Z90" t="s" s="19">
        <v>37</v>
      </c>
      <c r="AA90" t="s" s="15">
        <v>38</v>
      </c>
      <c r="AB90" t="s" s="15">
        <v>39</v>
      </c>
      <c r="AC90" t="s" s="15">
        <v>40</v>
      </c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</row>
    <row r="91" ht="13.55" customHeight="1">
      <c r="A91" t="s" s="13">
        <f t="shared" si="1428" ref="A91:B91">"03008"</f>
        <v>351</v>
      </c>
      <c r="B91" t="s" s="13">
        <f t="shared" si="1428"/>
        <v>351</v>
      </c>
      <c r="C91" t="s" s="13">
        <f t="shared" si="11"/>
        <v>27</v>
      </c>
      <c r="D91" t="s" s="13">
        <f>"NYAMBE NYAME"</f>
        <v>352</v>
      </c>
      <c r="E91" t="s" s="13">
        <f>"Alexandre"</f>
        <v>353</v>
      </c>
      <c r="F91" s="14">
        <v>33313</v>
      </c>
      <c r="G91" s="14">
        <v>44951</v>
      </c>
      <c r="H91" t="s" s="13">
        <f t="shared" si="14"/>
        <v>30</v>
      </c>
      <c r="I91" t="s" s="13">
        <v>31</v>
      </c>
      <c r="J91" t="s" s="13">
        <f t="shared" si="15"/>
        <v>32</v>
      </c>
      <c r="K91" t="s" s="13">
        <f t="shared" si="16"/>
        <v>33</v>
      </c>
      <c r="L91" t="s" s="15">
        <v>34</v>
      </c>
      <c r="M91" t="s" s="13">
        <v>31</v>
      </c>
      <c r="N91" t="s" s="13">
        <v>99</v>
      </c>
      <c r="O91" t="s" s="13">
        <v>83</v>
      </c>
      <c r="P91" s="16">
        <f>G91</f>
        <v>44951</v>
      </c>
      <c r="Q91" s="16">
        <f>P91+364</f>
        <v>45315</v>
      </c>
      <c r="R91" s="16">
        <f>Q91+1</f>
        <v>45316</v>
      </c>
      <c r="S91" s="16">
        <f>R91+29</f>
        <v>45345</v>
      </c>
      <c r="T91" s="17">
        <v>30</v>
      </c>
      <c r="U91" s="18">
        <v>0</v>
      </c>
      <c r="V91" s="18">
        <f>T91-U91</f>
        <v>30</v>
      </c>
      <c r="W91" s="16">
        <f>R91+V91</f>
        <v>45346</v>
      </c>
      <c r="X91" s="16">
        <f>S91+1</f>
        <v>45346</v>
      </c>
      <c r="Y91" s="16">
        <f>X91+365</f>
        <v>45711</v>
      </c>
      <c r="Z91" t="s" s="19">
        <v>37</v>
      </c>
      <c r="AA91" t="s" s="15">
        <v>38</v>
      </c>
      <c r="AB91" t="s" s="15">
        <v>39</v>
      </c>
      <c r="AC91" t="s" s="15">
        <v>40</v>
      </c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</row>
    <row r="92" ht="13.55" customHeight="1">
      <c r="A92" t="s" s="13">
        <f t="shared" si="1444" ref="A92:B92">"03009"</f>
        <v>354</v>
      </c>
      <c r="B92" t="s" s="13">
        <f t="shared" si="1444"/>
        <v>354</v>
      </c>
      <c r="C92" t="s" s="13">
        <f t="shared" si="11"/>
        <v>27</v>
      </c>
      <c r="D92" t="s" s="13">
        <f>"NKOA"</f>
        <v>355</v>
      </c>
      <c r="E92" t="s" s="13">
        <f>"Emile Jonathan"</f>
        <v>356</v>
      </c>
      <c r="F92" s="14">
        <v>32811</v>
      </c>
      <c r="G92" s="14">
        <v>44956</v>
      </c>
      <c r="H92" t="s" s="13">
        <f t="shared" si="14"/>
        <v>30</v>
      </c>
      <c r="I92" t="s" s="13">
        <v>31</v>
      </c>
      <c r="J92" t="s" s="13">
        <f t="shared" si="15"/>
        <v>32</v>
      </c>
      <c r="K92" t="s" s="13">
        <f t="shared" si="16"/>
        <v>33</v>
      </c>
      <c r="L92" t="s" s="15">
        <v>34</v>
      </c>
      <c r="M92" t="s" s="13">
        <v>31</v>
      </c>
      <c r="N92" t="s" s="13">
        <v>99</v>
      </c>
      <c r="O92" t="s" s="13">
        <v>83</v>
      </c>
      <c r="P92" s="16">
        <f>G92</f>
        <v>44956</v>
      </c>
      <c r="Q92" s="16">
        <f>P92+364</f>
        <v>45320</v>
      </c>
      <c r="R92" s="16">
        <f>Q92+1</f>
        <v>45321</v>
      </c>
      <c r="S92" s="16">
        <f>R92+29</f>
        <v>45350</v>
      </c>
      <c r="T92" s="17">
        <v>30</v>
      </c>
      <c r="U92" s="18">
        <v>0</v>
      </c>
      <c r="V92" s="18">
        <f>T92-U92</f>
        <v>30</v>
      </c>
      <c r="W92" s="16">
        <f>R92+V92</f>
        <v>45351</v>
      </c>
      <c r="X92" s="16">
        <f>S92+1</f>
        <v>45351</v>
      </c>
      <c r="Y92" s="16">
        <f>X92+365</f>
        <v>45716</v>
      </c>
      <c r="Z92" t="s" s="19">
        <v>37</v>
      </c>
      <c r="AA92" t="s" s="15">
        <v>44</v>
      </c>
      <c r="AB92" t="s" s="15">
        <v>45</v>
      </c>
      <c r="AC92" t="s" s="15">
        <v>40</v>
      </c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</row>
    <row r="93" ht="13.55" customHeight="1">
      <c r="A93" t="s" s="13">
        <f t="shared" si="1460" ref="A93:B93">"03010"</f>
        <v>357</v>
      </c>
      <c r="B93" t="s" s="13">
        <f t="shared" si="1460"/>
        <v>357</v>
      </c>
      <c r="C93" t="s" s="13">
        <f t="shared" si="11"/>
        <v>27</v>
      </c>
      <c r="D93" t="s" s="13">
        <f>"KOTO"</f>
        <v>358</v>
      </c>
      <c r="E93" t="s" s="13">
        <f>"Serge Hervé"</f>
        <v>359</v>
      </c>
      <c r="F93" s="14">
        <v>34108</v>
      </c>
      <c r="G93" s="14">
        <v>44951</v>
      </c>
      <c r="H93" t="s" s="13">
        <f t="shared" si="14"/>
        <v>30</v>
      </c>
      <c r="I93" t="s" s="13">
        <v>31</v>
      </c>
      <c r="J93" t="s" s="13">
        <f t="shared" si="15"/>
        <v>32</v>
      </c>
      <c r="K93" t="s" s="13">
        <f t="shared" si="16"/>
        <v>33</v>
      </c>
      <c r="L93" t="s" s="15">
        <v>34</v>
      </c>
      <c r="M93" t="s" s="13">
        <v>31</v>
      </c>
      <c r="N93" t="s" s="13">
        <v>99</v>
      </c>
      <c r="O93" t="s" s="13">
        <v>83</v>
      </c>
      <c r="P93" s="16">
        <f>G93</f>
        <v>44951</v>
      </c>
      <c r="Q93" s="16">
        <f>P93+364</f>
        <v>45315</v>
      </c>
      <c r="R93" s="16">
        <f>Q93+1</f>
        <v>45316</v>
      </c>
      <c r="S93" s="16">
        <f>R93+29</f>
        <v>45345</v>
      </c>
      <c r="T93" s="17">
        <v>30</v>
      </c>
      <c r="U93" s="18">
        <v>0</v>
      </c>
      <c r="V93" s="18">
        <f>T93-U93</f>
        <v>30</v>
      </c>
      <c r="W93" s="16">
        <f>R93+V93</f>
        <v>45346</v>
      </c>
      <c r="X93" s="16">
        <f>S93+1</f>
        <v>45346</v>
      </c>
      <c r="Y93" s="16">
        <f>X93+365</f>
        <v>45711</v>
      </c>
      <c r="Z93" t="s" s="19">
        <v>37</v>
      </c>
      <c r="AA93" t="s" s="15">
        <v>38</v>
      </c>
      <c r="AB93" t="s" s="15">
        <v>39</v>
      </c>
      <c r="AC93" t="s" s="15">
        <v>40</v>
      </c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</row>
    <row r="94" ht="13.55" customHeight="1">
      <c r="A94" t="s" s="13">
        <f t="shared" si="1476" ref="A94:B94">"03011"</f>
        <v>360</v>
      </c>
      <c r="B94" t="s" s="13">
        <f t="shared" si="1476"/>
        <v>360</v>
      </c>
      <c r="C94" t="s" s="13">
        <f t="shared" si="11"/>
        <v>27</v>
      </c>
      <c r="D94" t="s" s="13">
        <f>"BELLE EBOKOLO"</f>
        <v>361</v>
      </c>
      <c r="E94" t="s" s="13">
        <f>"Yves Bertrand"</f>
        <v>362</v>
      </c>
      <c r="F94" s="14">
        <v>31238</v>
      </c>
      <c r="G94" s="14">
        <v>44950</v>
      </c>
      <c r="H94" t="s" s="13">
        <f t="shared" si="14"/>
        <v>30</v>
      </c>
      <c r="I94" t="s" s="13">
        <v>31</v>
      </c>
      <c r="J94" t="s" s="13">
        <f t="shared" si="15"/>
        <v>32</v>
      </c>
      <c r="K94" t="s" s="13">
        <f t="shared" si="16"/>
        <v>33</v>
      </c>
      <c r="L94" t="s" s="15">
        <v>34</v>
      </c>
      <c r="M94" t="s" s="13">
        <v>31</v>
      </c>
      <c r="N94" t="s" s="13">
        <v>99</v>
      </c>
      <c r="O94" t="s" s="13">
        <v>83</v>
      </c>
      <c r="P94" s="16">
        <f>G94</f>
        <v>44950</v>
      </c>
      <c r="Q94" s="16">
        <f>P94+364</f>
        <v>45314</v>
      </c>
      <c r="R94" s="16">
        <f>Q94+1</f>
        <v>45315</v>
      </c>
      <c r="S94" s="16">
        <f>R94+29</f>
        <v>45344</v>
      </c>
      <c r="T94" s="17">
        <v>30</v>
      </c>
      <c r="U94" s="18">
        <v>0</v>
      </c>
      <c r="V94" s="18">
        <f>T94-U94</f>
        <v>30</v>
      </c>
      <c r="W94" s="16">
        <f>R94+V94</f>
        <v>45345</v>
      </c>
      <c r="X94" s="16">
        <f>S94+1</f>
        <v>45345</v>
      </c>
      <c r="Y94" s="16">
        <f>X94+365</f>
        <v>45710</v>
      </c>
      <c r="Z94" t="s" s="19">
        <v>37</v>
      </c>
      <c r="AA94" t="s" s="15">
        <v>38</v>
      </c>
      <c r="AB94" t="s" s="15">
        <v>39</v>
      </c>
      <c r="AC94" t="s" s="15">
        <v>40</v>
      </c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</row>
    <row r="95" ht="13.55" customHeight="1">
      <c r="A95" t="s" s="13">
        <f t="shared" si="1492" ref="A95:B95">"03012"</f>
        <v>363</v>
      </c>
      <c r="B95" t="s" s="13">
        <f t="shared" si="1492"/>
        <v>363</v>
      </c>
      <c r="C95" t="s" s="13">
        <f t="shared" si="11"/>
        <v>27</v>
      </c>
      <c r="D95" t="s" s="13">
        <f>"EBOLLO EDIMO"</f>
        <v>364</v>
      </c>
      <c r="E95" t="s" s="13">
        <f>"Ernest Yanick-Noé"</f>
        <v>365</v>
      </c>
      <c r="F95" s="14">
        <v>32407</v>
      </c>
      <c r="G95" s="14">
        <v>44949</v>
      </c>
      <c r="H95" t="s" s="13">
        <v>93</v>
      </c>
      <c r="I95" t="s" s="13">
        <v>31</v>
      </c>
      <c r="J95" t="s" s="13">
        <f t="shared" si="15"/>
        <v>32</v>
      </c>
      <c r="K95" t="s" s="13">
        <f t="shared" si="16"/>
        <v>33</v>
      </c>
      <c r="L95" t="s" s="15">
        <v>34</v>
      </c>
      <c r="M95" t="s" s="13">
        <v>31</v>
      </c>
      <c r="N95" t="s" s="13">
        <v>99</v>
      </c>
      <c r="O95" t="s" s="13">
        <v>83</v>
      </c>
      <c r="P95" s="16">
        <f>G95</f>
        <v>44949</v>
      </c>
      <c r="Q95" s="16">
        <f>P95+364</f>
        <v>45313</v>
      </c>
      <c r="R95" s="16">
        <f>Q95+1</f>
        <v>45314</v>
      </c>
      <c r="S95" s="16">
        <f>R95+29</f>
        <v>45343</v>
      </c>
      <c r="T95" s="17">
        <v>30</v>
      </c>
      <c r="U95" s="18">
        <v>0</v>
      </c>
      <c r="V95" s="18">
        <f>T95-U95</f>
        <v>30</v>
      </c>
      <c r="W95" s="16">
        <f>R95+V95</f>
        <v>45344</v>
      </c>
      <c r="X95" s="16">
        <f>S95+1</f>
        <v>45344</v>
      </c>
      <c r="Y95" s="16">
        <f>X95+365</f>
        <v>45709</v>
      </c>
      <c r="Z95" s="22"/>
      <c r="AA95" t="s" s="15">
        <v>38</v>
      </c>
      <c r="AB95" t="s" s="15">
        <v>39</v>
      </c>
      <c r="AC95" t="s" s="15">
        <v>40</v>
      </c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</row>
    <row r="96" ht="13.55" customHeight="1">
      <c r="A96" t="s" s="13">
        <f t="shared" si="1507" ref="A96:B96">"03013"</f>
        <v>366</v>
      </c>
      <c r="B96" t="s" s="13">
        <f t="shared" si="1507"/>
        <v>366</v>
      </c>
      <c r="C96" t="s" s="13">
        <f t="shared" si="11"/>
        <v>27</v>
      </c>
      <c r="D96" t="s" s="13">
        <f>"WANGMENE"</f>
        <v>367</v>
      </c>
      <c r="E96" t="s" s="13">
        <f>"Jean"</f>
        <v>368</v>
      </c>
      <c r="F96" s="14">
        <v>31534</v>
      </c>
      <c r="G96" s="14">
        <v>44946</v>
      </c>
      <c r="H96" t="s" s="13">
        <v>93</v>
      </c>
      <c r="I96" t="s" s="13">
        <v>31</v>
      </c>
      <c r="J96" t="s" s="13">
        <f t="shared" si="15"/>
        <v>32</v>
      </c>
      <c r="K96" t="s" s="13">
        <f t="shared" si="16"/>
        <v>33</v>
      </c>
      <c r="L96" t="s" s="15">
        <v>34</v>
      </c>
      <c r="M96" t="s" s="13">
        <v>31</v>
      </c>
      <c r="N96" t="s" s="13">
        <v>99</v>
      </c>
      <c r="O96" t="s" s="13">
        <v>83</v>
      </c>
      <c r="P96" s="16">
        <f>G96</f>
        <v>44946</v>
      </c>
      <c r="Q96" s="16">
        <f>P96+364</f>
        <v>45310</v>
      </c>
      <c r="R96" s="16">
        <f>Q96+1</f>
        <v>45311</v>
      </c>
      <c r="S96" s="16">
        <f>R96+29</f>
        <v>45340</v>
      </c>
      <c r="T96" s="17">
        <v>30</v>
      </c>
      <c r="U96" s="18">
        <v>0</v>
      </c>
      <c r="V96" s="18">
        <f>T96-U96</f>
        <v>30</v>
      </c>
      <c r="W96" s="16">
        <f>R96+V96</f>
        <v>45341</v>
      </c>
      <c r="X96" s="16">
        <f>S96+1</f>
        <v>45341</v>
      </c>
      <c r="Y96" s="16">
        <f>X96+365</f>
        <v>45706</v>
      </c>
      <c r="Z96" t="s" s="19">
        <v>37</v>
      </c>
      <c r="AA96" t="s" s="15">
        <v>38</v>
      </c>
      <c r="AB96" t="s" s="15">
        <v>39</v>
      </c>
      <c r="AC96" t="s" s="15">
        <v>40</v>
      </c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</row>
    <row r="97" ht="13.55" customHeight="1">
      <c r="A97" t="s" s="13">
        <f t="shared" si="1522" ref="A97:B97">"03014"</f>
        <v>369</v>
      </c>
      <c r="B97" t="s" s="13">
        <f t="shared" si="1522"/>
        <v>369</v>
      </c>
      <c r="C97" t="s" s="13">
        <f t="shared" si="11"/>
        <v>27</v>
      </c>
      <c r="D97" t="s" s="13">
        <f>"Eric Gilbert PEGNYEMB"</f>
        <v>370</v>
      </c>
      <c r="E97" t="s" s="13">
        <f t="shared" si="61"/>
      </c>
      <c r="F97" s="14">
        <v>30596</v>
      </c>
      <c r="G97" s="14">
        <v>44947</v>
      </c>
      <c r="H97" t="s" s="13">
        <v>93</v>
      </c>
      <c r="I97" t="s" s="13">
        <v>31</v>
      </c>
      <c r="J97" t="s" s="13">
        <f t="shared" si="15"/>
        <v>32</v>
      </c>
      <c r="K97" t="s" s="13">
        <f t="shared" si="16"/>
        <v>33</v>
      </c>
      <c r="L97" t="s" s="15">
        <v>34</v>
      </c>
      <c r="M97" t="s" s="13">
        <v>31</v>
      </c>
      <c r="N97" t="s" s="13">
        <v>99</v>
      </c>
      <c r="O97" t="s" s="13">
        <v>83</v>
      </c>
      <c r="P97" s="16">
        <f>G97</f>
        <v>44947</v>
      </c>
      <c r="Q97" s="16">
        <f>P97+364</f>
        <v>45311</v>
      </c>
      <c r="R97" s="16">
        <f>Q97+1</f>
        <v>45312</v>
      </c>
      <c r="S97" s="16">
        <f>R97+29</f>
        <v>45341</v>
      </c>
      <c r="T97" s="17">
        <v>30</v>
      </c>
      <c r="U97" s="18">
        <v>0</v>
      </c>
      <c r="V97" s="18">
        <f>T97-U97</f>
        <v>30</v>
      </c>
      <c r="W97" s="16">
        <f>R97+V97</f>
        <v>45342</v>
      </c>
      <c r="X97" s="16">
        <f>S97+1</f>
        <v>45342</v>
      </c>
      <c r="Y97" s="16">
        <f>X97+365</f>
        <v>45707</v>
      </c>
      <c r="Z97" t="s" s="19">
        <v>37</v>
      </c>
      <c r="AA97" t="s" s="15">
        <v>38</v>
      </c>
      <c r="AB97" t="s" s="15">
        <v>39</v>
      </c>
      <c r="AC97" t="s" s="15">
        <v>40</v>
      </c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</row>
    <row r="98" ht="13.55" customHeight="1">
      <c r="A98" t="s" s="13">
        <f t="shared" si="1537" ref="A98:B98">"03015"</f>
        <v>371</v>
      </c>
      <c r="B98" t="s" s="13">
        <f t="shared" si="1537"/>
        <v>371</v>
      </c>
      <c r="C98" t="s" s="13">
        <f t="shared" si="11"/>
        <v>27</v>
      </c>
      <c r="D98" t="s" s="13">
        <f>"NKENGBEZA Paul ACHEALEKE"</f>
        <v>372</v>
      </c>
      <c r="E98" t="s" s="13">
        <f t="shared" si="61"/>
      </c>
      <c r="F98" s="14">
        <v>35699</v>
      </c>
      <c r="G98" s="14">
        <v>44947</v>
      </c>
      <c r="H98" t="s" s="13">
        <v>93</v>
      </c>
      <c r="I98" t="s" s="13">
        <v>31</v>
      </c>
      <c r="J98" t="s" s="13">
        <f t="shared" si="15"/>
        <v>32</v>
      </c>
      <c r="K98" t="s" s="13">
        <f t="shared" si="16"/>
        <v>33</v>
      </c>
      <c r="L98" t="s" s="15">
        <v>34</v>
      </c>
      <c r="M98" t="s" s="13">
        <v>31</v>
      </c>
      <c r="N98" t="s" s="13">
        <v>99</v>
      </c>
      <c r="O98" t="s" s="13">
        <v>83</v>
      </c>
      <c r="P98" s="16">
        <f>G98</f>
        <v>44947</v>
      </c>
      <c r="Q98" s="16">
        <f>P98+364</f>
        <v>45311</v>
      </c>
      <c r="R98" s="16">
        <f>Q98+1</f>
        <v>45312</v>
      </c>
      <c r="S98" s="16">
        <f>R98+29</f>
        <v>45341</v>
      </c>
      <c r="T98" s="17">
        <v>30</v>
      </c>
      <c r="U98" s="18">
        <v>0</v>
      </c>
      <c r="V98" s="18">
        <f>T98-U98</f>
        <v>30</v>
      </c>
      <c r="W98" s="16">
        <f>R98+V98</f>
        <v>45342</v>
      </c>
      <c r="X98" s="16">
        <f>S98+1</f>
        <v>45342</v>
      </c>
      <c r="Y98" s="16">
        <f>X98+365</f>
        <v>45707</v>
      </c>
      <c r="Z98" s="22"/>
      <c r="AA98" t="s" s="15">
        <v>38</v>
      </c>
      <c r="AB98" t="s" s="15">
        <v>39</v>
      </c>
      <c r="AC98" t="s" s="15">
        <v>40</v>
      </c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</row>
    <row r="99" ht="13.55" customHeight="1">
      <c r="A99" t="s" s="13">
        <f t="shared" si="1552" ref="A99:B99">"03016"</f>
        <v>373</v>
      </c>
      <c r="B99" t="s" s="13">
        <f t="shared" si="1552"/>
        <v>373</v>
      </c>
      <c r="C99" t="s" s="13">
        <f t="shared" si="11"/>
        <v>27</v>
      </c>
      <c r="D99" t="s" s="13">
        <f>"NKEMTAJI Simplice FORLEMU"</f>
        <v>374</v>
      </c>
      <c r="E99" t="s" s="13">
        <f t="shared" si="61"/>
      </c>
      <c r="F99" s="14">
        <v>33387</v>
      </c>
      <c r="G99" s="14">
        <v>44946</v>
      </c>
      <c r="H99" t="s" s="13">
        <v>93</v>
      </c>
      <c r="I99" t="s" s="13">
        <v>31</v>
      </c>
      <c r="J99" t="s" s="13">
        <f t="shared" si="15"/>
        <v>32</v>
      </c>
      <c r="K99" t="s" s="13">
        <f t="shared" si="16"/>
        <v>33</v>
      </c>
      <c r="L99" t="s" s="15">
        <v>34</v>
      </c>
      <c r="M99" t="s" s="13">
        <v>31</v>
      </c>
      <c r="N99" t="s" s="13">
        <v>99</v>
      </c>
      <c r="O99" t="s" s="13">
        <v>83</v>
      </c>
      <c r="P99" s="16">
        <f>G99</f>
        <v>44946</v>
      </c>
      <c r="Q99" s="16">
        <f>P99+364</f>
        <v>45310</v>
      </c>
      <c r="R99" s="16">
        <f>Q99+1</f>
        <v>45311</v>
      </c>
      <c r="S99" s="16">
        <f>R99+29</f>
        <v>45340</v>
      </c>
      <c r="T99" s="17">
        <v>30</v>
      </c>
      <c r="U99" s="18">
        <v>0</v>
      </c>
      <c r="V99" s="18">
        <f>T99-U99</f>
        <v>30</v>
      </c>
      <c r="W99" s="16">
        <f>R99+V99</f>
        <v>45341</v>
      </c>
      <c r="X99" s="16">
        <f>S99+1</f>
        <v>45341</v>
      </c>
      <c r="Y99" s="16">
        <f>X99+365</f>
        <v>45706</v>
      </c>
      <c r="Z99" t="s" s="19">
        <v>37</v>
      </c>
      <c r="AA99" t="s" s="15">
        <v>44</v>
      </c>
      <c r="AB99" t="s" s="15">
        <v>45</v>
      </c>
      <c r="AC99" t="s" s="15">
        <v>40</v>
      </c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</row>
    <row r="100" ht="13.55" customHeight="1">
      <c r="A100" t="s" s="13">
        <f t="shared" si="1567" ref="A100:B100">"03017"</f>
        <v>375</v>
      </c>
      <c r="B100" t="s" s="13">
        <f t="shared" si="1567"/>
        <v>375</v>
      </c>
      <c r="C100" t="s" s="13">
        <f t="shared" si="11"/>
        <v>27</v>
      </c>
      <c r="D100" t="s" s="13">
        <f>"KENGNE NWAFO"</f>
        <v>376</v>
      </c>
      <c r="E100" t="s" s="13">
        <f>"Cédric Voltaire"</f>
        <v>377</v>
      </c>
      <c r="F100" s="14">
        <v>32801</v>
      </c>
      <c r="G100" s="14">
        <v>44950</v>
      </c>
      <c r="H100" t="s" s="13">
        <f t="shared" si="14"/>
        <v>30</v>
      </c>
      <c r="I100" t="s" s="13">
        <v>31</v>
      </c>
      <c r="J100" t="s" s="13">
        <f t="shared" si="15"/>
        <v>32</v>
      </c>
      <c r="K100" t="s" s="13">
        <f t="shared" si="16"/>
        <v>33</v>
      </c>
      <c r="L100" t="s" s="15">
        <v>34</v>
      </c>
      <c r="M100" t="s" s="13">
        <v>31</v>
      </c>
      <c r="N100" t="s" s="13">
        <v>99</v>
      </c>
      <c r="O100" t="s" s="13">
        <v>83</v>
      </c>
      <c r="P100" s="16">
        <f>G100</f>
        <v>44950</v>
      </c>
      <c r="Q100" s="16">
        <f>P100+364</f>
        <v>45314</v>
      </c>
      <c r="R100" s="16">
        <f>Q100+1</f>
        <v>45315</v>
      </c>
      <c r="S100" s="16">
        <f>R100+29</f>
        <v>45344</v>
      </c>
      <c r="T100" s="17">
        <v>30</v>
      </c>
      <c r="U100" s="18">
        <v>0</v>
      </c>
      <c r="V100" s="18">
        <f>T100-U100</f>
        <v>30</v>
      </c>
      <c r="W100" s="16">
        <f>R100+V100</f>
        <v>45345</v>
      </c>
      <c r="X100" s="16">
        <f>S100+1</f>
        <v>45345</v>
      </c>
      <c r="Y100" s="16">
        <f>X100+365</f>
        <v>45710</v>
      </c>
      <c r="Z100" t="s" s="19">
        <v>37</v>
      </c>
      <c r="AA100" t="s" s="15">
        <v>38</v>
      </c>
      <c r="AB100" t="s" s="15">
        <v>39</v>
      </c>
      <c r="AC100" t="s" s="15">
        <v>40</v>
      </c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</row>
    <row r="101" ht="13.55" customHeight="1">
      <c r="A101" t="s" s="13">
        <f t="shared" si="1583" ref="A101:B101">"03018"</f>
        <v>378</v>
      </c>
      <c r="B101" t="s" s="13">
        <f t="shared" si="1583"/>
        <v>378</v>
      </c>
      <c r="C101" t="s" s="13">
        <f t="shared" si="11"/>
        <v>27</v>
      </c>
      <c r="D101" t="s" s="13">
        <f>"OWONO MBARGA"</f>
        <v>379</v>
      </c>
      <c r="E101" t="s" s="13">
        <f>"Alfred"</f>
        <v>380</v>
      </c>
      <c r="F101" s="14">
        <v>33868</v>
      </c>
      <c r="G101" s="14">
        <v>44954</v>
      </c>
      <c r="H101" t="s" s="13">
        <f t="shared" si="14"/>
        <v>30</v>
      </c>
      <c r="I101" t="s" s="13">
        <v>31</v>
      </c>
      <c r="J101" t="s" s="13">
        <f t="shared" si="15"/>
        <v>32</v>
      </c>
      <c r="K101" t="s" s="13">
        <f t="shared" si="16"/>
        <v>33</v>
      </c>
      <c r="L101" t="s" s="15">
        <v>34</v>
      </c>
      <c r="M101" t="s" s="13">
        <v>31</v>
      </c>
      <c r="N101" t="s" s="13">
        <v>99</v>
      </c>
      <c r="O101" t="s" s="13">
        <v>83</v>
      </c>
      <c r="P101" s="16">
        <f>G101</f>
        <v>44954</v>
      </c>
      <c r="Q101" s="16">
        <f>P101+364</f>
        <v>45318</v>
      </c>
      <c r="R101" s="16">
        <f>Q101+1</f>
        <v>45319</v>
      </c>
      <c r="S101" s="16">
        <f>R101+29</f>
        <v>45348</v>
      </c>
      <c r="T101" s="17">
        <v>30</v>
      </c>
      <c r="U101" s="18">
        <v>0</v>
      </c>
      <c r="V101" s="18">
        <f>T101-U101</f>
        <v>30</v>
      </c>
      <c r="W101" s="16">
        <f>R101+V101</f>
        <v>45349</v>
      </c>
      <c r="X101" s="16">
        <f>S101+1</f>
        <v>45349</v>
      </c>
      <c r="Y101" s="16">
        <f>X101+365</f>
        <v>45714</v>
      </c>
      <c r="Z101" t="s" s="19">
        <v>37</v>
      </c>
      <c r="AA101" t="s" s="15">
        <v>44</v>
      </c>
      <c r="AB101" t="s" s="15">
        <v>45</v>
      </c>
      <c r="AC101" t="s" s="15">
        <v>40</v>
      </c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</row>
    <row r="102" ht="13.55" customHeight="1">
      <c r="A102" t="s" s="13">
        <f t="shared" si="1599" ref="A102:B102">"03019"</f>
        <v>381</v>
      </c>
      <c r="B102" t="s" s="13">
        <f t="shared" si="1599"/>
        <v>381</v>
      </c>
      <c r="C102" t="s" s="13">
        <f t="shared" si="11"/>
        <v>27</v>
      </c>
      <c r="D102" t="s" s="13">
        <f>"BONKA BONKA"</f>
        <v>382</v>
      </c>
      <c r="E102" t="s" s="13">
        <f>"Aloys"</f>
        <v>383</v>
      </c>
      <c r="F102" s="14">
        <v>34959</v>
      </c>
      <c r="G102" s="14">
        <v>44951</v>
      </c>
      <c r="H102" t="s" s="13">
        <f t="shared" si="14"/>
        <v>30</v>
      </c>
      <c r="I102" t="s" s="13">
        <v>31</v>
      </c>
      <c r="J102" t="s" s="13">
        <f t="shared" si="15"/>
        <v>32</v>
      </c>
      <c r="K102" t="s" s="13">
        <f t="shared" si="16"/>
        <v>33</v>
      </c>
      <c r="L102" t="s" s="15">
        <v>34</v>
      </c>
      <c r="M102" t="s" s="13">
        <v>31</v>
      </c>
      <c r="N102" t="s" s="13">
        <v>99</v>
      </c>
      <c r="O102" t="s" s="13">
        <v>83</v>
      </c>
      <c r="P102" s="16">
        <f>G102</f>
        <v>44951</v>
      </c>
      <c r="Q102" s="16">
        <f>P102+364</f>
        <v>45315</v>
      </c>
      <c r="R102" s="16">
        <f>Q102+1</f>
        <v>45316</v>
      </c>
      <c r="S102" s="16">
        <f>R102+29</f>
        <v>45345</v>
      </c>
      <c r="T102" s="17">
        <v>30</v>
      </c>
      <c r="U102" s="18">
        <v>0</v>
      </c>
      <c r="V102" s="18">
        <f>T102-U102</f>
        <v>30</v>
      </c>
      <c r="W102" s="16">
        <f>R102+V102</f>
        <v>45346</v>
      </c>
      <c r="X102" s="16">
        <f>S102+1</f>
        <v>45346</v>
      </c>
      <c r="Y102" s="16">
        <f>X102+365</f>
        <v>45711</v>
      </c>
      <c r="Z102" t="s" s="19">
        <v>37</v>
      </c>
      <c r="AA102" t="s" s="15">
        <v>44</v>
      </c>
      <c r="AB102" t="s" s="15">
        <v>45</v>
      </c>
      <c r="AC102" t="s" s="15">
        <v>40</v>
      </c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</row>
    <row r="103" ht="13.55" customHeight="1">
      <c r="A103" t="s" s="13">
        <f t="shared" si="1615" ref="A103:B103">"03020"</f>
        <v>384</v>
      </c>
      <c r="B103" t="s" s="13">
        <f t="shared" si="1615"/>
        <v>384</v>
      </c>
      <c r="C103" t="s" s="13">
        <f t="shared" si="11"/>
        <v>27</v>
      </c>
      <c r="D103" t="s" s="13">
        <f>"NDONG OWONA"</f>
        <v>385</v>
      </c>
      <c r="E103" t="s" s="13">
        <f>"Gérard Georges Théod"</f>
        <v>386</v>
      </c>
      <c r="F103" s="14">
        <v>32821</v>
      </c>
      <c r="G103" s="14">
        <v>44951</v>
      </c>
      <c r="H103" t="s" s="13">
        <v>93</v>
      </c>
      <c r="I103" t="s" s="13">
        <v>31</v>
      </c>
      <c r="J103" t="s" s="13">
        <f t="shared" si="15"/>
        <v>32</v>
      </c>
      <c r="K103" t="s" s="13">
        <f t="shared" si="16"/>
        <v>33</v>
      </c>
      <c r="L103" t="s" s="15">
        <v>34</v>
      </c>
      <c r="M103" t="s" s="13">
        <v>31</v>
      </c>
      <c r="N103" t="s" s="13">
        <v>99</v>
      </c>
      <c r="O103" t="s" s="13">
        <v>83</v>
      </c>
      <c r="P103" s="16">
        <f>G103</f>
        <v>44951</v>
      </c>
      <c r="Q103" s="16">
        <f>P103+364</f>
        <v>45315</v>
      </c>
      <c r="R103" s="16">
        <f>Q103+1</f>
        <v>45316</v>
      </c>
      <c r="S103" s="16">
        <f>R103+29</f>
        <v>45345</v>
      </c>
      <c r="T103" s="17">
        <v>30</v>
      </c>
      <c r="U103" s="18">
        <v>0</v>
      </c>
      <c r="V103" s="18">
        <f>T103-U103</f>
        <v>30</v>
      </c>
      <c r="W103" s="16">
        <f>R103+V103</f>
        <v>45346</v>
      </c>
      <c r="X103" s="16">
        <f>S103+1</f>
        <v>45346</v>
      </c>
      <c r="Y103" s="16">
        <f>X103+365</f>
        <v>45711</v>
      </c>
      <c r="Z103" t="s" s="19">
        <v>37</v>
      </c>
      <c r="AA103" t="s" s="15">
        <v>44</v>
      </c>
      <c r="AB103" t="s" s="15">
        <v>45</v>
      </c>
      <c r="AC103" t="s" s="15">
        <v>40</v>
      </c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ht="13.55" customHeight="1">
      <c r="A104" t="s" s="13">
        <f t="shared" si="1630" ref="A104:B104">"03021"</f>
        <v>387</v>
      </c>
      <c r="B104" t="s" s="13">
        <f t="shared" si="1630"/>
        <v>387</v>
      </c>
      <c r="C104" t="s" s="13">
        <f t="shared" si="920"/>
        <v>250</v>
      </c>
      <c r="D104" t="s" s="13">
        <f>"ESSOMBA OKAH"</f>
        <v>388</v>
      </c>
      <c r="E104" t="s" s="13">
        <f>"Estele"</f>
        <v>389</v>
      </c>
      <c r="F104" s="14">
        <v>34965</v>
      </c>
      <c r="G104" s="14">
        <v>44971</v>
      </c>
      <c r="H104" t="s" s="13">
        <v>93</v>
      </c>
      <c r="I104" t="s" s="13">
        <v>74</v>
      </c>
      <c r="J104" t="s" s="13">
        <f t="shared" si="127"/>
        <v>69</v>
      </c>
      <c r="K104" t="s" s="13">
        <f t="shared" si="144"/>
        <v>76</v>
      </c>
      <c r="L104" t="s" s="15">
        <v>77</v>
      </c>
      <c r="M104" t="s" s="13">
        <v>74</v>
      </c>
      <c r="N104" t="s" s="13">
        <v>70</v>
      </c>
      <c r="O104" t="s" s="13">
        <v>36</v>
      </c>
      <c r="P104" s="16">
        <f>G104</f>
        <v>44971</v>
      </c>
      <c r="Q104" s="16">
        <f>P104+364</f>
        <v>45335</v>
      </c>
      <c r="R104" s="16">
        <f>Q104+1</f>
        <v>45336</v>
      </c>
      <c r="S104" s="16">
        <f>R104+29</f>
        <v>45365</v>
      </c>
      <c r="T104" s="17">
        <v>30</v>
      </c>
      <c r="U104" s="18">
        <v>0</v>
      </c>
      <c r="V104" s="18">
        <f>T104-U104</f>
        <v>30</v>
      </c>
      <c r="W104" s="16">
        <f>R104+V104</f>
        <v>45366</v>
      </c>
      <c r="X104" s="16">
        <f>S104+1</f>
        <v>45366</v>
      </c>
      <c r="Y104" s="16">
        <f>X104+365</f>
        <v>45731</v>
      </c>
      <c r="Z104" t="s" s="19">
        <v>37</v>
      </c>
      <c r="AA104" t="s" s="15">
        <v>38</v>
      </c>
      <c r="AB104" t="s" s="15">
        <v>39</v>
      </c>
      <c r="AC104" t="s" s="15">
        <v>78</v>
      </c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</row>
    <row r="105" ht="13.55" customHeight="1">
      <c r="A105" t="s" s="13">
        <f t="shared" si="1645" ref="A105:B105">"03022"</f>
        <v>390</v>
      </c>
      <c r="B105" t="s" s="13">
        <f t="shared" si="1645"/>
        <v>390</v>
      </c>
      <c r="C105" t="s" s="13">
        <f t="shared" si="11"/>
        <v>27</v>
      </c>
      <c r="D105" t="s" s="13">
        <f>"TAZO"</f>
        <v>391</v>
      </c>
      <c r="E105" t="s" s="13">
        <f>"Jorès"</f>
        <v>392</v>
      </c>
      <c r="F105" s="14">
        <v>35203</v>
      </c>
      <c r="G105" s="14">
        <v>44949</v>
      </c>
      <c r="H105" t="s" s="13">
        <f t="shared" si="14"/>
        <v>30</v>
      </c>
      <c r="I105" t="s" s="13">
        <v>74</v>
      </c>
      <c r="J105" t="s" s="13">
        <f>"Magasinier"</f>
        <v>393</v>
      </c>
      <c r="K105" t="s" s="13">
        <f t="shared" si="303"/>
        <v>116</v>
      </c>
      <c r="L105" s="23"/>
      <c r="M105" t="s" s="13">
        <v>74</v>
      </c>
      <c r="N105" t="s" s="13">
        <v>70</v>
      </c>
      <c r="O105" t="s" s="13">
        <v>36</v>
      </c>
      <c r="P105" s="16">
        <f>G105</f>
        <v>44949</v>
      </c>
      <c r="Q105" s="16">
        <f>P105+364</f>
        <v>45313</v>
      </c>
      <c r="R105" s="16">
        <f>Q105+1</f>
        <v>45314</v>
      </c>
      <c r="S105" s="16">
        <f>R105+29</f>
        <v>45343</v>
      </c>
      <c r="T105" s="17">
        <v>30</v>
      </c>
      <c r="U105" s="18">
        <v>0</v>
      </c>
      <c r="V105" s="18">
        <f>T105-U105</f>
        <v>30</v>
      </c>
      <c r="W105" s="16">
        <f>R105+V105</f>
        <v>45344</v>
      </c>
      <c r="X105" s="16">
        <f>S105+1</f>
        <v>45344</v>
      </c>
      <c r="Y105" s="16">
        <f>X105+365</f>
        <v>45709</v>
      </c>
      <c r="Z105" t="s" s="19">
        <v>37</v>
      </c>
      <c r="AA105" t="s" s="15">
        <v>38</v>
      </c>
      <c r="AB105" t="s" s="15">
        <v>39</v>
      </c>
      <c r="AC105" t="s" s="15">
        <v>61</v>
      </c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</row>
    <row r="106" ht="13.55" customHeight="1">
      <c r="A106" t="s" s="13">
        <f t="shared" si="1661" ref="A106:B106">"03023"</f>
        <v>394</v>
      </c>
      <c r="B106" t="s" s="13">
        <f t="shared" si="1661"/>
        <v>394</v>
      </c>
      <c r="C106" t="s" s="13">
        <f t="shared" si="11"/>
        <v>27</v>
      </c>
      <c r="D106" t="s" s="13">
        <f>"NOAH ENAMA"</f>
        <v>395</v>
      </c>
      <c r="E106" t="s" s="13">
        <f>"Agreus Joël"</f>
        <v>396</v>
      </c>
      <c r="F106" s="14">
        <v>32337</v>
      </c>
      <c r="G106" s="14">
        <v>44991</v>
      </c>
      <c r="H106" t="s" s="13">
        <f t="shared" si="14"/>
        <v>30</v>
      </c>
      <c r="I106" t="s" s="13">
        <v>31</v>
      </c>
      <c r="J106" t="s" s="13">
        <f t="shared" si="127"/>
        <v>69</v>
      </c>
      <c r="K106" t="s" s="13">
        <f t="shared" si="16"/>
        <v>33</v>
      </c>
      <c r="L106" t="s" s="15">
        <v>34</v>
      </c>
      <c r="M106" t="s" s="13">
        <v>31</v>
      </c>
      <c r="N106" t="s" s="13">
        <v>70</v>
      </c>
      <c r="O106" t="s" s="13">
        <v>36</v>
      </c>
      <c r="P106" s="16">
        <f>G106</f>
        <v>44991</v>
      </c>
      <c r="Q106" s="16">
        <f>P106+364</f>
        <v>45355</v>
      </c>
      <c r="R106" s="16">
        <f>Q106+1</f>
        <v>45356</v>
      </c>
      <c r="S106" s="16">
        <f>R106+29</f>
        <v>45385</v>
      </c>
      <c r="T106" s="17">
        <v>30</v>
      </c>
      <c r="U106" s="18">
        <v>0</v>
      </c>
      <c r="V106" s="18">
        <f>T106-U106</f>
        <v>30</v>
      </c>
      <c r="W106" s="16">
        <f>R106+V106</f>
        <v>45386</v>
      </c>
      <c r="X106" s="16">
        <f>S106+1</f>
        <v>45386</v>
      </c>
      <c r="Y106" s="16">
        <f>X106+365</f>
        <v>45751</v>
      </c>
      <c r="Z106" t="s" s="19">
        <v>37</v>
      </c>
      <c r="AA106" t="s" s="15">
        <v>44</v>
      </c>
      <c r="AB106" t="s" s="15">
        <v>45</v>
      </c>
      <c r="AC106" t="s" s="15">
        <v>40</v>
      </c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</row>
    <row r="107" ht="13.55" customHeight="1">
      <c r="A107" t="s" s="13">
        <f t="shared" si="1677" ref="A107:B107">"03024"</f>
        <v>397</v>
      </c>
      <c r="B107" t="s" s="13">
        <f t="shared" si="1677"/>
        <v>397</v>
      </c>
      <c r="C107" t="s" s="13">
        <f t="shared" si="11"/>
        <v>27</v>
      </c>
      <c r="D107" t="s" s="13">
        <f>"NYAMA ZIBI"</f>
        <v>398</v>
      </c>
      <c r="E107" t="s" s="13">
        <f>"Jean Bosco"</f>
        <v>399</v>
      </c>
      <c r="F107" s="14">
        <v>36062</v>
      </c>
      <c r="G107" s="14">
        <v>44973</v>
      </c>
      <c r="H107" t="s" s="13">
        <f t="shared" si="14"/>
        <v>30</v>
      </c>
      <c r="I107" t="s" s="13">
        <v>31</v>
      </c>
      <c r="J107" t="s" s="13">
        <f t="shared" si="127"/>
        <v>69</v>
      </c>
      <c r="K107" t="s" s="13">
        <f t="shared" si="16"/>
        <v>33</v>
      </c>
      <c r="L107" t="s" s="15">
        <v>34</v>
      </c>
      <c r="M107" t="s" s="13">
        <v>31</v>
      </c>
      <c r="N107" t="s" s="13">
        <v>70</v>
      </c>
      <c r="O107" t="s" s="13">
        <v>36</v>
      </c>
      <c r="P107" s="16">
        <f>G107</f>
        <v>44973</v>
      </c>
      <c r="Q107" s="16">
        <f>P107+364</f>
        <v>45337</v>
      </c>
      <c r="R107" s="16">
        <f>Q107+1</f>
        <v>45338</v>
      </c>
      <c r="S107" s="16">
        <f>R107+29</f>
        <v>45367</v>
      </c>
      <c r="T107" s="17">
        <v>30</v>
      </c>
      <c r="U107" s="18">
        <v>0</v>
      </c>
      <c r="V107" s="18">
        <f>T107-U107</f>
        <v>30</v>
      </c>
      <c r="W107" s="16">
        <f>R107+V107</f>
        <v>45368</v>
      </c>
      <c r="X107" s="16">
        <f>S107+1</f>
        <v>45368</v>
      </c>
      <c r="Y107" s="16">
        <f>X107+365</f>
        <v>45733</v>
      </c>
      <c r="Z107" t="s" s="19">
        <v>37</v>
      </c>
      <c r="AA107" t="s" s="15">
        <v>38</v>
      </c>
      <c r="AB107" t="s" s="15">
        <v>39</v>
      </c>
      <c r="AC107" t="s" s="15">
        <v>40</v>
      </c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ht="13.55" customHeight="1">
      <c r="A108" t="s" s="13">
        <f t="shared" si="1693" ref="A108:B108">"03025"</f>
        <v>400</v>
      </c>
      <c r="B108" t="s" s="13">
        <f t="shared" si="1693"/>
        <v>400</v>
      </c>
      <c r="C108" t="s" s="13">
        <f t="shared" si="11"/>
        <v>27</v>
      </c>
      <c r="D108" t="s" s="13">
        <f>"NJOH MOUDIO"</f>
        <v>401</v>
      </c>
      <c r="E108" t="s" s="13">
        <f t="shared" si="93"/>
        <v>55</v>
      </c>
      <c r="F108" s="14">
        <v>33563</v>
      </c>
      <c r="G108" s="14">
        <v>44978</v>
      </c>
      <c r="H108" t="s" s="13">
        <f t="shared" si="14"/>
        <v>30</v>
      </c>
      <c r="I108" t="s" s="13">
        <v>31</v>
      </c>
      <c r="J108" t="s" s="13">
        <f t="shared" si="923"/>
        <v>253</v>
      </c>
      <c r="K108" t="s" s="13">
        <f t="shared" si="16"/>
        <v>33</v>
      </c>
      <c r="L108" t="s" s="15">
        <v>34</v>
      </c>
      <c r="M108" t="s" s="13">
        <v>31</v>
      </c>
      <c r="N108" t="s" s="13">
        <v>70</v>
      </c>
      <c r="O108" t="s" s="13">
        <v>36</v>
      </c>
      <c r="P108" s="16">
        <f>G108</f>
        <v>44978</v>
      </c>
      <c r="Q108" s="16">
        <f>P108+364</f>
        <v>45342</v>
      </c>
      <c r="R108" s="16">
        <f>Q108+1</f>
        <v>45343</v>
      </c>
      <c r="S108" s="16">
        <f>R108+29</f>
        <v>45372</v>
      </c>
      <c r="T108" s="17">
        <v>30</v>
      </c>
      <c r="U108" s="18">
        <v>0</v>
      </c>
      <c r="V108" s="18">
        <f>T108-U108</f>
        <v>30</v>
      </c>
      <c r="W108" s="16">
        <f>R108+V108</f>
        <v>45373</v>
      </c>
      <c r="X108" s="16">
        <f>S108+1</f>
        <v>45373</v>
      </c>
      <c r="Y108" s="16">
        <f>X108+365</f>
        <v>45738</v>
      </c>
      <c r="Z108" s="22"/>
      <c r="AA108" t="s" s="15">
        <v>44</v>
      </c>
      <c r="AB108" t="s" s="15">
        <v>45</v>
      </c>
      <c r="AC108" t="s" s="15">
        <v>40</v>
      </c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</row>
    <row r="109" ht="13.55" customHeight="1">
      <c r="A109" t="s" s="13">
        <f t="shared" si="1709" ref="A109:B109">"03026"</f>
        <v>402</v>
      </c>
      <c r="B109" t="s" s="13">
        <f t="shared" si="1709"/>
        <v>402</v>
      </c>
      <c r="C109" t="s" s="13">
        <f t="shared" si="107"/>
        <v>63</v>
      </c>
      <c r="D109" t="s" s="13">
        <f>"FADIMATOU OUMAROU AMAN"</f>
        <v>403</v>
      </c>
      <c r="E109" t="s" s="13">
        <f t="shared" si="61"/>
      </c>
      <c r="F109" s="14">
        <v>34911</v>
      </c>
      <c r="G109" s="14">
        <v>44980</v>
      </c>
      <c r="H109" t="s" s="13">
        <f t="shared" si="14"/>
        <v>30</v>
      </c>
      <c r="I109" t="s" s="13">
        <v>56</v>
      </c>
      <c r="J109" t="s" s="13">
        <f t="shared" si="764"/>
        <v>213</v>
      </c>
      <c r="K109" t="s" s="13">
        <f t="shared" si="96"/>
        <v>58</v>
      </c>
      <c r="L109" t="s" s="15">
        <v>59</v>
      </c>
      <c r="M109" t="s" s="13">
        <v>56</v>
      </c>
      <c r="N109" t="s" s="13">
        <v>70</v>
      </c>
      <c r="O109" t="s" s="13">
        <v>36</v>
      </c>
      <c r="P109" s="16">
        <f>G109</f>
        <v>44980</v>
      </c>
      <c r="Q109" s="16">
        <f>P109+364</f>
        <v>45344</v>
      </c>
      <c r="R109" s="16">
        <f>Q109+1</f>
        <v>45345</v>
      </c>
      <c r="S109" s="16">
        <f>R109+29</f>
        <v>45374</v>
      </c>
      <c r="T109" s="17">
        <v>30</v>
      </c>
      <c r="U109" s="18">
        <v>0</v>
      </c>
      <c r="V109" s="18">
        <f>T109-U109</f>
        <v>30</v>
      </c>
      <c r="W109" s="16">
        <f>R109+V109</f>
        <v>45375</v>
      </c>
      <c r="X109" s="16">
        <f>S109+1</f>
        <v>45375</v>
      </c>
      <c r="Y109" s="16">
        <f>X109+365</f>
        <v>45740</v>
      </c>
      <c r="Z109" t="s" s="19">
        <v>37</v>
      </c>
      <c r="AA109" t="s" s="15">
        <v>44</v>
      </c>
      <c r="AB109" t="s" s="15">
        <v>45</v>
      </c>
      <c r="AC109" t="s" s="15">
        <v>61</v>
      </c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</row>
    <row r="110" ht="13.55" customHeight="1">
      <c r="A110" t="s" s="13">
        <f t="shared" si="1725" ref="A110:B110">"03027"</f>
        <v>404</v>
      </c>
      <c r="B110" t="s" s="13">
        <f t="shared" si="1725"/>
        <v>404</v>
      </c>
      <c r="C110" t="s" s="13">
        <f t="shared" si="107"/>
        <v>63</v>
      </c>
      <c r="D110" t="s" s="13">
        <f>"NKOUDOU ALEGUE"</f>
        <v>405</v>
      </c>
      <c r="E110" t="s" s="13">
        <f>"Noelle Venissia"</f>
        <v>406</v>
      </c>
      <c r="F110" s="14">
        <v>33864</v>
      </c>
      <c r="G110" s="14">
        <v>44977</v>
      </c>
      <c r="H110" t="s" s="13">
        <f t="shared" si="14"/>
        <v>30</v>
      </c>
      <c r="I110" t="s" s="13">
        <v>74</v>
      </c>
      <c r="J110" t="s" s="13">
        <f t="shared" si="764"/>
        <v>213</v>
      </c>
      <c r="K110" t="s" s="13">
        <f t="shared" si="144"/>
        <v>76</v>
      </c>
      <c r="L110" t="s" s="15">
        <v>77</v>
      </c>
      <c r="M110" t="s" s="13">
        <v>74</v>
      </c>
      <c r="N110" t="s" s="13">
        <v>70</v>
      </c>
      <c r="O110" t="s" s="13">
        <v>36</v>
      </c>
      <c r="P110" s="16">
        <f>G110</f>
        <v>44977</v>
      </c>
      <c r="Q110" s="16">
        <f>P110+364</f>
        <v>45341</v>
      </c>
      <c r="R110" s="16">
        <f>Q110+1</f>
        <v>45342</v>
      </c>
      <c r="S110" s="16">
        <f>R110+29</f>
        <v>45371</v>
      </c>
      <c r="T110" s="17">
        <v>30</v>
      </c>
      <c r="U110" s="18">
        <v>0</v>
      </c>
      <c r="V110" s="18">
        <f>T110-U110</f>
        <v>30</v>
      </c>
      <c r="W110" s="16">
        <f>R110+V110</f>
        <v>45372</v>
      </c>
      <c r="X110" s="16">
        <f>S110+1</f>
        <v>45372</v>
      </c>
      <c r="Y110" s="16">
        <f>X110+365</f>
        <v>45737</v>
      </c>
      <c r="Z110" t="s" s="19">
        <v>37</v>
      </c>
      <c r="AA110" t="s" s="15">
        <v>44</v>
      </c>
      <c r="AB110" t="s" s="15">
        <v>45</v>
      </c>
      <c r="AC110" t="s" s="15">
        <v>78</v>
      </c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</row>
    <row r="111" ht="13.55" customHeight="1">
      <c r="A111" t="s" s="13">
        <f t="shared" si="1741" ref="A111:B111">"03028"</f>
        <v>407</v>
      </c>
      <c r="B111" t="s" s="13">
        <f t="shared" si="1741"/>
        <v>407</v>
      </c>
      <c r="C111" t="s" s="13">
        <f t="shared" si="11"/>
        <v>27</v>
      </c>
      <c r="D111" t="s" s="13">
        <f>"ABDOUL RAHIM"</f>
        <v>408</v>
      </c>
      <c r="E111" t="s" s="13">
        <f t="shared" si="61"/>
      </c>
      <c r="F111" s="14">
        <v>33056</v>
      </c>
      <c r="G111" s="14">
        <v>44980</v>
      </c>
      <c r="H111" t="s" s="13">
        <f t="shared" si="14"/>
        <v>30</v>
      </c>
      <c r="I111" t="s" s="13">
        <v>221</v>
      </c>
      <c r="J111" t="s" s="13">
        <f>"Agent Commercial"</f>
        <v>409</v>
      </c>
      <c r="K111" t="s" s="13">
        <f t="shared" si="96"/>
        <v>58</v>
      </c>
      <c r="L111" t="s" s="15">
        <v>222</v>
      </c>
      <c r="M111" t="s" s="13">
        <v>221</v>
      </c>
      <c r="N111" t="s" s="13">
        <v>70</v>
      </c>
      <c r="O111" t="s" s="13">
        <v>36</v>
      </c>
      <c r="P111" s="16">
        <f>G111</f>
        <v>44980</v>
      </c>
      <c r="Q111" s="16">
        <f>P111+364</f>
        <v>45344</v>
      </c>
      <c r="R111" s="16">
        <f>Q111+1</f>
        <v>45345</v>
      </c>
      <c r="S111" s="16">
        <f>R111+29</f>
        <v>45374</v>
      </c>
      <c r="T111" s="17">
        <v>30</v>
      </c>
      <c r="U111" s="18">
        <v>0</v>
      </c>
      <c r="V111" s="18">
        <f>T111-U111</f>
        <v>30</v>
      </c>
      <c r="W111" s="16">
        <f>R111+V111</f>
        <v>45375</v>
      </c>
      <c r="X111" s="16">
        <f>S111+1</f>
        <v>45375</v>
      </c>
      <c r="Y111" s="16">
        <f>X111+365</f>
        <v>45740</v>
      </c>
      <c r="Z111" t="s" s="19">
        <v>37</v>
      </c>
      <c r="AA111" t="s" s="15">
        <v>38</v>
      </c>
      <c r="AB111" t="s" s="15">
        <v>39</v>
      </c>
      <c r="AC111" t="s" s="15">
        <v>223</v>
      </c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</row>
    <row r="112" ht="13.55" customHeight="1">
      <c r="A112" t="s" s="13">
        <f t="shared" si="1757" ref="A112:B112">"03029"</f>
        <v>410</v>
      </c>
      <c r="B112" t="s" s="13">
        <f t="shared" si="1757"/>
        <v>410</v>
      </c>
      <c r="C112" t="s" s="13">
        <f t="shared" si="107"/>
        <v>63</v>
      </c>
      <c r="D112" t="s" s="13">
        <f>"Grâce Guilaine NDIA MBOUMBANG"</f>
        <v>411</v>
      </c>
      <c r="E112" t="s" s="13">
        <f t="shared" si="61"/>
      </c>
      <c r="F112" s="14">
        <v>35742</v>
      </c>
      <c r="G112" s="14">
        <v>44979</v>
      </c>
      <c r="H112" t="s" s="13">
        <f t="shared" si="14"/>
        <v>30</v>
      </c>
      <c r="I112" t="s" s="13">
        <v>31</v>
      </c>
      <c r="J112" t="s" s="13">
        <f t="shared" si="159"/>
        <v>82</v>
      </c>
      <c r="K112" t="s" s="13">
        <f t="shared" si="16"/>
        <v>33</v>
      </c>
      <c r="L112" t="s" s="15">
        <v>34</v>
      </c>
      <c r="M112" t="s" s="13">
        <v>31</v>
      </c>
      <c r="N112" t="s" s="13">
        <v>35</v>
      </c>
      <c r="O112" t="s" s="13">
        <v>83</v>
      </c>
      <c r="P112" s="16">
        <f>G112</f>
        <v>44979</v>
      </c>
      <c r="Q112" s="16">
        <f>P112+364</f>
        <v>45343</v>
      </c>
      <c r="R112" s="16">
        <f>Q112+1</f>
        <v>45344</v>
      </c>
      <c r="S112" s="16">
        <f>R112+29</f>
        <v>45373</v>
      </c>
      <c r="T112" s="17">
        <v>30</v>
      </c>
      <c r="U112" s="18">
        <v>0</v>
      </c>
      <c r="V112" s="18">
        <f>T112-U112</f>
        <v>30</v>
      </c>
      <c r="W112" s="16">
        <f>R112+V112</f>
        <v>45374</v>
      </c>
      <c r="X112" s="16">
        <f>S112+1</f>
        <v>45374</v>
      </c>
      <c r="Y112" s="16">
        <f>X112+365</f>
        <v>45739</v>
      </c>
      <c r="Z112" s="22"/>
      <c r="AA112" t="s" s="15">
        <v>44</v>
      </c>
      <c r="AB112" t="s" s="15">
        <v>45</v>
      </c>
      <c r="AC112" t="s" s="15">
        <v>40</v>
      </c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</row>
    <row r="113" ht="13.55" customHeight="1">
      <c r="A113" t="s" s="13">
        <f t="shared" si="1773" ref="A113:B113">"03030"</f>
        <v>412</v>
      </c>
      <c r="B113" t="s" s="13">
        <f t="shared" si="1773"/>
        <v>412</v>
      </c>
      <c r="C113" t="s" s="13">
        <f t="shared" si="11"/>
        <v>27</v>
      </c>
      <c r="D113" t="s" s="13">
        <f>"DJOPMEGNI"</f>
        <v>413</v>
      </c>
      <c r="E113" t="s" s="13">
        <f>"Simplice"</f>
        <v>414</v>
      </c>
      <c r="F113" s="14">
        <v>31467</v>
      </c>
      <c r="G113" s="14">
        <v>44951</v>
      </c>
      <c r="H113" t="s" s="13">
        <f t="shared" si="14"/>
        <v>30</v>
      </c>
      <c r="I113" t="s" s="13">
        <v>31</v>
      </c>
      <c r="J113" t="s" s="13">
        <f t="shared" si="15"/>
        <v>32</v>
      </c>
      <c r="K113" t="s" s="13">
        <f t="shared" si="16"/>
        <v>33</v>
      </c>
      <c r="L113" t="s" s="15">
        <v>34</v>
      </c>
      <c r="M113" t="s" s="13">
        <v>31</v>
      </c>
      <c r="N113" t="s" s="13">
        <v>99</v>
      </c>
      <c r="O113" t="s" s="13">
        <v>83</v>
      </c>
      <c r="P113" s="16">
        <f>G113</f>
        <v>44951</v>
      </c>
      <c r="Q113" s="16">
        <f>P113+364</f>
        <v>45315</v>
      </c>
      <c r="R113" s="16">
        <f>Q113+1</f>
        <v>45316</v>
      </c>
      <c r="S113" s="16">
        <f>R113+29</f>
        <v>45345</v>
      </c>
      <c r="T113" s="17">
        <v>30</v>
      </c>
      <c r="U113" s="18">
        <v>0</v>
      </c>
      <c r="V113" s="18">
        <f>T113-U113</f>
        <v>30</v>
      </c>
      <c r="W113" s="16">
        <f>R113+V113</f>
        <v>45346</v>
      </c>
      <c r="X113" s="16">
        <f>S113+1</f>
        <v>45346</v>
      </c>
      <c r="Y113" s="16">
        <f>X113+365</f>
        <v>45711</v>
      </c>
      <c r="Z113" t="s" s="19">
        <v>37</v>
      </c>
      <c r="AA113" t="s" s="15">
        <v>44</v>
      </c>
      <c r="AB113" t="s" s="15">
        <v>45</v>
      </c>
      <c r="AC113" t="s" s="15">
        <v>40</v>
      </c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</row>
    <row r="114" ht="13.55" customHeight="1">
      <c r="A114" t="s" s="13">
        <f t="shared" si="1789" ref="A114:B114">"03031"</f>
        <v>415</v>
      </c>
      <c r="B114" t="s" s="13">
        <f t="shared" si="1789"/>
        <v>415</v>
      </c>
      <c r="C114" t="s" s="13">
        <f t="shared" si="11"/>
        <v>27</v>
      </c>
      <c r="D114" t="s" s="13">
        <f>"POUENGUI NOUPEDJE"</f>
        <v>416</v>
      </c>
      <c r="E114" t="s" s="13">
        <f>"Ramses"</f>
        <v>417</v>
      </c>
      <c r="F114" s="14">
        <v>34062</v>
      </c>
      <c r="G114" s="14">
        <v>44946</v>
      </c>
      <c r="H114" t="s" s="13">
        <f t="shared" si="14"/>
        <v>30</v>
      </c>
      <c r="I114" t="s" s="13">
        <v>31</v>
      </c>
      <c r="J114" t="s" s="13">
        <f t="shared" si="15"/>
        <v>32</v>
      </c>
      <c r="K114" t="s" s="13">
        <f t="shared" si="16"/>
        <v>33</v>
      </c>
      <c r="L114" t="s" s="15">
        <v>34</v>
      </c>
      <c r="M114" t="s" s="13">
        <v>31</v>
      </c>
      <c r="N114" t="s" s="13">
        <v>99</v>
      </c>
      <c r="O114" t="s" s="13">
        <v>83</v>
      </c>
      <c r="P114" s="16">
        <f>G114</f>
        <v>44946</v>
      </c>
      <c r="Q114" s="16">
        <f>P114+364</f>
        <v>45310</v>
      </c>
      <c r="R114" s="16">
        <f>Q114+1</f>
        <v>45311</v>
      </c>
      <c r="S114" s="16">
        <f>R114+29</f>
        <v>45340</v>
      </c>
      <c r="T114" s="17">
        <v>30</v>
      </c>
      <c r="U114" s="18">
        <v>0</v>
      </c>
      <c r="V114" s="18">
        <f>T114-U114</f>
        <v>30</v>
      </c>
      <c r="W114" s="16">
        <f>R114+V114</f>
        <v>45341</v>
      </c>
      <c r="X114" s="16">
        <f>S114+1</f>
        <v>45341</v>
      </c>
      <c r="Y114" s="16">
        <f>X114+365</f>
        <v>45706</v>
      </c>
      <c r="Z114" t="s" s="19">
        <v>37</v>
      </c>
      <c r="AA114" t="s" s="15">
        <v>44</v>
      </c>
      <c r="AB114" t="s" s="15">
        <v>45</v>
      </c>
      <c r="AC114" t="s" s="15">
        <v>40</v>
      </c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</row>
    <row r="115" ht="13.55" customHeight="1">
      <c r="A115" t="s" s="13">
        <f t="shared" si="1805" ref="A115:B115">"03032"</f>
        <v>418</v>
      </c>
      <c r="B115" t="s" s="13">
        <f t="shared" si="1805"/>
        <v>418</v>
      </c>
      <c r="C115" t="s" s="13">
        <f t="shared" si="11"/>
        <v>27</v>
      </c>
      <c r="D115" t="s" s="13">
        <f>"OUSMANOU AHMADOU"</f>
        <v>419</v>
      </c>
      <c r="E115" t="s" s="13">
        <f>"Abdel Aron"</f>
        <v>420</v>
      </c>
      <c r="F115" s="14">
        <v>36280</v>
      </c>
      <c r="G115" s="14">
        <v>44957</v>
      </c>
      <c r="H115" t="s" s="13">
        <f t="shared" si="14"/>
        <v>30</v>
      </c>
      <c r="I115" t="s" s="13">
        <v>31</v>
      </c>
      <c r="J115" t="s" s="13">
        <f t="shared" si="222"/>
        <v>98</v>
      </c>
      <c r="K115" t="s" s="13">
        <f t="shared" si="16"/>
        <v>33</v>
      </c>
      <c r="L115" t="s" s="15">
        <v>34</v>
      </c>
      <c r="M115" t="s" s="13">
        <v>31</v>
      </c>
      <c r="N115" t="s" s="13">
        <v>35</v>
      </c>
      <c r="O115" t="s" s="13">
        <v>83</v>
      </c>
      <c r="P115" s="16">
        <f>G115</f>
        <v>44957</v>
      </c>
      <c r="Q115" s="16">
        <f>P115+364</f>
        <v>45321</v>
      </c>
      <c r="R115" s="16">
        <f>Q115+1</f>
        <v>45322</v>
      </c>
      <c r="S115" s="16">
        <f>R115+29</f>
        <v>45351</v>
      </c>
      <c r="T115" s="17">
        <v>30</v>
      </c>
      <c r="U115" s="18">
        <v>0</v>
      </c>
      <c r="V115" s="18">
        <f>T115-U115</f>
        <v>30</v>
      </c>
      <c r="W115" s="16">
        <f>R115+V115</f>
        <v>45352</v>
      </c>
      <c r="X115" s="16">
        <f>S115+1</f>
        <v>45352</v>
      </c>
      <c r="Y115" s="16">
        <f>X115+365</f>
        <v>45717</v>
      </c>
      <c r="Z115" t="s" s="19">
        <v>37</v>
      </c>
      <c r="AA115" t="s" s="15">
        <v>44</v>
      </c>
      <c r="AB115" t="s" s="15">
        <v>45</v>
      </c>
      <c r="AC115" t="s" s="15">
        <v>40</v>
      </c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</row>
    <row r="116" ht="13.55" customHeight="1">
      <c r="A116" t="s" s="13">
        <f t="shared" si="1821" ref="A116:B116">"03033"</f>
        <v>421</v>
      </c>
      <c r="B116" t="s" s="13">
        <f t="shared" si="1821"/>
        <v>421</v>
      </c>
      <c r="C116" t="s" s="13">
        <f t="shared" si="11"/>
        <v>27</v>
      </c>
      <c r="D116" t="s" s="13">
        <f>"MINLO"</f>
        <v>422</v>
      </c>
      <c r="E116" t="s" s="13">
        <f>"Félix Yannick"</f>
        <v>423</v>
      </c>
      <c r="F116" s="14">
        <v>32055</v>
      </c>
      <c r="G116" s="14">
        <v>44950</v>
      </c>
      <c r="H116" t="s" s="13">
        <f t="shared" si="14"/>
        <v>30</v>
      </c>
      <c r="I116" t="s" s="13">
        <v>31</v>
      </c>
      <c r="J116" t="s" s="13">
        <f t="shared" si="15"/>
        <v>32</v>
      </c>
      <c r="K116" t="s" s="13">
        <f t="shared" si="16"/>
        <v>33</v>
      </c>
      <c r="L116" t="s" s="15">
        <v>34</v>
      </c>
      <c r="M116" t="s" s="13">
        <v>31</v>
      </c>
      <c r="N116" t="s" s="13">
        <v>99</v>
      </c>
      <c r="O116" t="s" s="13">
        <v>83</v>
      </c>
      <c r="P116" s="16">
        <f>G116</f>
        <v>44950</v>
      </c>
      <c r="Q116" s="16">
        <f>P116+364</f>
        <v>45314</v>
      </c>
      <c r="R116" s="16">
        <f>Q116+1</f>
        <v>45315</v>
      </c>
      <c r="S116" s="16">
        <f>R116+29</f>
        <v>45344</v>
      </c>
      <c r="T116" s="17">
        <v>30</v>
      </c>
      <c r="U116" s="18">
        <v>0</v>
      </c>
      <c r="V116" s="18">
        <f>T116-U116</f>
        <v>30</v>
      </c>
      <c r="W116" s="16">
        <f>R116+V116</f>
        <v>45345</v>
      </c>
      <c r="X116" s="16">
        <f>S116+1</f>
        <v>45345</v>
      </c>
      <c r="Y116" s="16">
        <f>X116+365</f>
        <v>45710</v>
      </c>
      <c r="Z116" t="s" s="19">
        <v>37</v>
      </c>
      <c r="AA116" t="s" s="15">
        <v>38</v>
      </c>
      <c r="AB116" t="s" s="15">
        <v>39</v>
      </c>
      <c r="AC116" t="s" s="15">
        <v>40</v>
      </c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</row>
    <row r="117" ht="13.55" customHeight="1">
      <c r="A117" t="s" s="13">
        <f t="shared" si="1837" ref="A117:B117">"03034"</f>
        <v>424</v>
      </c>
      <c r="B117" t="s" s="13">
        <f t="shared" si="1837"/>
        <v>424</v>
      </c>
      <c r="C117" t="s" s="13">
        <f t="shared" si="11"/>
        <v>27</v>
      </c>
      <c r="D117" t="s" s="13">
        <f>"NJOH EBONGOM"</f>
        <v>425</v>
      </c>
      <c r="E117" t="s" s="13">
        <f t="shared" si="1049"/>
        <v>280</v>
      </c>
      <c r="F117" s="14">
        <v>31270</v>
      </c>
      <c r="G117" s="14">
        <v>44950</v>
      </c>
      <c r="H117" t="s" s="13">
        <f t="shared" si="14"/>
        <v>30</v>
      </c>
      <c r="I117" t="s" s="13">
        <v>31</v>
      </c>
      <c r="J117" t="s" s="13">
        <f t="shared" si="15"/>
        <v>32</v>
      </c>
      <c r="K117" t="s" s="13">
        <f t="shared" si="16"/>
        <v>33</v>
      </c>
      <c r="L117" t="s" s="15">
        <v>34</v>
      </c>
      <c r="M117" t="s" s="13">
        <v>31</v>
      </c>
      <c r="N117" t="s" s="13">
        <v>99</v>
      </c>
      <c r="O117" t="s" s="13">
        <v>83</v>
      </c>
      <c r="P117" s="16">
        <f>G117</f>
        <v>44950</v>
      </c>
      <c r="Q117" s="16">
        <f>P117+364</f>
        <v>45314</v>
      </c>
      <c r="R117" s="16">
        <f>Q117+1</f>
        <v>45315</v>
      </c>
      <c r="S117" s="16">
        <f>R117+29</f>
        <v>45344</v>
      </c>
      <c r="T117" s="17">
        <v>30</v>
      </c>
      <c r="U117" s="18">
        <v>0</v>
      </c>
      <c r="V117" s="18">
        <f>T117-U117</f>
        <v>30</v>
      </c>
      <c r="W117" s="16">
        <f>R117+V117</f>
        <v>45345</v>
      </c>
      <c r="X117" s="16">
        <f>S117+1</f>
        <v>45345</v>
      </c>
      <c r="Y117" s="16">
        <f>X117+365</f>
        <v>45710</v>
      </c>
      <c r="Z117" s="22"/>
      <c r="AA117" t="s" s="15">
        <v>44</v>
      </c>
      <c r="AB117" t="s" s="15">
        <v>45</v>
      </c>
      <c r="AC117" t="s" s="15">
        <v>40</v>
      </c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</row>
    <row r="118" ht="13.55" customHeight="1">
      <c r="A118" t="s" s="13">
        <f t="shared" si="1853" ref="A118:B118">"03035"</f>
        <v>426</v>
      </c>
      <c r="B118" t="s" s="13">
        <f t="shared" si="1853"/>
        <v>426</v>
      </c>
      <c r="C118" t="s" s="13">
        <f t="shared" si="107"/>
        <v>63</v>
      </c>
      <c r="D118" t="s" s="13">
        <f>"MEKONGO"</f>
        <v>427</v>
      </c>
      <c r="E118" t="s" s="13">
        <f>"Emilienne Alexis"</f>
        <v>428</v>
      </c>
      <c r="F118" s="14">
        <v>36319</v>
      </c>
      <c r="G118" s="14">
        <v>44999</v>
      </c>
      <c r="H118" t="s" s="13">
        <f t="shared" si="14"/>
        <v>30</v>
      </c>
      <c r="I118" t="s" s="13">
        <v>74</v>
      </c>
      <c r="J118" t="s" s="13">
        <f t="shared" si="923"/>
        <v>253</v>
      </c>
      <c r="K118" t="s" s="13">
        <f t="shared" si="144"/>
        <v>76</v>
      </c>
      <c r="L118" t="s" s="15">
        <v>77</v>
      </c>
      <c r="M118" t="s" s="13">
        <v>74</v>
      </c>
      <c r="N118" t="s" s="13">
        <v>70</v>
      </c>
      <c r="O118" t="s" s="13">
        <v>36</v>
      </c>
      <c r="P118" s="16">
        <f>G118</f>
        <v>44999</v>
      </c>
      <c r="Q118" s="16">
        <f>P118+364</f>
        <v>45363</v>
      </c>
      <c r="R118" s="16">
        <f>Q118+1</f>
        <v>45364</v>
      </c>
      <c r="S118" s="16">
        <f>R118+29</f>
        <v>45393</v>
      </c>
      <c r="T118" s="17">
        <v>30</v>
      </c>
      <c r="U118" s="18">
        <v>0</v>
      </c>
      <c r="V118" s="18">
        <f>T118-U118</f>
        <v>30</v>
      </c>
      <c r="W118" s="16">
        <f>R118+V118</f>
        <v>45394</v>
      </c>
      <c r="X118" s="16">
        <f>S118+1</f>
        <v>45394</v>
      </c>
      <c r="Y118" s="16">
        <f>X118+365</f>
        <v>45759</v>
      </c>
      <c r="Z118" t="s" s="19">
        <v>37</v>
      </c>
      <c r="AA118" t="s" s="15">
        <v>44</v>
      </c>
      <c r="AB118" t="s" s="15">
        <v>45</v>
      </c>
      <c r="AC118" t="s" s="15">
        <v>78</v>
      </c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</row>
    <row r="119" ht="13.55" customHeight="1">
      <c r="A119" t="s" s="13">
        <f t="shared" si="1869" ref="A119:B119">"03036"</f>
        <v>429</v>
      </c>
      <c r="B119" t="s" s="13">
        <f t="shared" si="1869"/>
        <v>429</v>
      </c>
      <c r="C119" t="s" s="13">
        <f t="shared" si="11"/>
        <v>27</v>
      </c>
      <c r="D119" t="s" s="13">
        <f>"BILOA MVOGO"</f>
        <v>430</v>
      </c>
      <c r="E119" t="s" s="13">
        <f>"Ghislain Patrick"</f>
        <v>431</v>
      </c>
      <c r="F119" s="14">
        <v>34829</v>
      </c>
      <c r="G119" s="14">
        <v>45019</v>
      </c>
      <c r="H119" t="s" s="13">
        <f t="shared" si="14"/>
        <v>30</v>
      </c>
      <c r="I119" t="s" s="13">
        <v>74</v>
      </c>
      <c r="J119" t="s" s="13">
        <f t="shared" si="1099"/>
        <v>292</v>
      </c>
      <c r="K119" t="s" s="13">
        <f t="shared" si="144"/>
        <v>76</v>
      </c>
      <c r="L119" t="s" s="15">
        <v>77</v>
      </c>
      <c r="M119" t="s" s="13">
        <v>74</v>
      </c>
      <c r="N119" t="s" s="13">
        <v>70</v>
      </c>
      <c r="O119" t="s" s="13">
        <v>36</v>
      </c>
      <c r="P119" s="16">
        <f>G119</f>
        <v>45019</v>
      </c>
      <c r="Q119" s="16">
        <f>P119+364</f>
        <v>45383</v>
      </c>
      <c r="R119" s="16">
        <f>Q119+1</f>
        <v>45384</v>
      </c>
      <c r="S119" s="16">
        <f>R119+29</f>
        <v>45413</v>
      </c>
      <c r="T119" s="17">
        <v>30</v>
      </c>
      <c r="U119" s="18">
        <v>0</v>
      </c>
      <c r="V119" s="18">
        <f>T119-U119</f>
        <v>30</v>
      </c>
      <c r="W119" s="16">
        <f>R119+V119</f>
        <v>45414</v>
      </c>
      <c r="X119" s="16">
        <f>S119+1</f>
        <v>45414</v>
      </c>
      <c r="Y119" s="16">
        <f>X119+365</f>
        <v>45779</v>
      </c>
      <c r="Z119" t="s" s="19">
        <v>37</v>
      </c>
      <c r="AA119" t="s" s="15">
        <v>44</v>
      </c>
      <c r="AB119" t="s" s="15">
        <v>45</v>
      </c>
      <c r="AC119" t="s" s="15">
        <v>78</v>
      </c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</row>
    <row r="120" ht="13.55" customHeight="1">
      <c r="A120" t="s" s="13">
        <f t="shared" si="1885" ref="A120:B120">"03037"</f>
        <v>432</v>
      </c>
      <c r="B120" t="s" s="13">
        <f t="shared" si="1885"/>
        <v>432</v>
      </c>
      <c r="C120" t="s" s="13">
        <f t="shared" si="107"/>
        <v>63</v>
      </c>
      <c r="D120" t="s" s="13">
        <f>"DAMSEK BIWOLE"</f>
        <v>433</v>
      </c>
      <c r="E120" t="s" s="13">
        <f>"Kévine"</f>
        <v>434</v>
      </c>
      <c r="F120" s="14">
        <v>37888</v>
      </c>
      <c r="G120" s="14">
        <v>45033</v>
      </c>
      <c r="H120" t="s" s="13">
        <f t="shared" si="14"/>
        <v>30</v>
      </c>
      <c r="I120" t="s" s="13">
        <v>74</v>
      </c>
      <c r="J120" t="s" s="13">
        <f t="shared" si="1099"/>
        <v>292</v>
      </c>
      <c r="K120" t="s" s="13">
        <f t="shared" si="144"/>
        <v>76</v>
      </c>
      <c r="L120" t="s" s="15">
        <v>77</v>
      </c>
      <c r="M120" t="s" s="13">
        <v>74</v>
      </c>
      <c r="N120" t="s" s="13">
        <v>70</v>
      </c>
      <c r="O120" t="s" s="13">
        <v>36</v>
      </c>
      <c r="P120" s="16">
        <f>G120</f>
        <v>45033</v>
      </c>
      <c r="Q120" s="16">
        <f>P120+364</f>
        <v>45397</v>
      </c>
      <c r="R120" s="16">
        <f>Q120+1</f>
        <v>45398</v>
      </c>
      <c r="S120" s="16">
        <f>R120+29</f>
        <v>45427</v>
      </c>
      <c r="T120" s="17">
        <v>30</v>
      </c>
      <c r="U120" s="18">
        <v>0</v>
      </c>
      <c r="V120" s="18">
        <f>T120-U120</f>
        <v>30</v>
      </c>
      <c r="W120" s="16">
        <f>R120+V120</f>
        <v>45428</v>
      </c>
      <c r="X120" s="16">
        <f>S120+1</f>
        <v>45428</v>
      </c>
      <c r="Y120" s="16">
        <f>X120+365</f>
        <v>45793</v>
      </c>
      <c r="Z120" t="s" s="19">
        <v>37</v>
      </c>
      <c r="AA120" t="s" s="15">
        <v>44</v>
      </c>
      <c r="AB120" t="s" s="15">
        <v>45</v>
      </c>
      <c r="AC120" t="s" s="15">
        <v>78</v>
      </c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</row>
    <row r="121" ht="13.55" customHeight="1">
      <c r="A121" t="s" s="13">
        <f t="shared" si="1901" ref="A121:B121">"03038"</f>
        <v>435</v>
      </c>
      <c r="B121" t="s" s="13">
        <f t="shared" si="1901"/>
        <v>435</v>
      </c>
      <c r="C121" t="s" s="13">
        <f t="shared" si="107"/>
        <v>63</v>
      </c>
      <c r="D121" t="s" s="13">
        <f>"DIMBA"</f>
        <v>436</v>
      </c>
      <c r="E121" t="s" s="13">
        <f>"Léonie Astrella"</f>
        <v>437</v>
      </c>
      <c r="F121" s="14">
        <v>34261</v>
      </c>
      <c r="G121" s="14">
        <v>45029</v>
      </c>
      <c r="H121" t="s" s="13">
        <f t="shared" si="14"/>
        <v>30</v>
      </c>
      <c r="I121" t="s" s="13">
        <v>31</v>
      </c>
      <c r="J121" t="s" s="13">
        <f t="shared" si="764"/>
        <v>213</v>
      </c>
      <c r="K121" t="s" s="13">
        <f t="shared" si="16"/>
        <v>33</v>
      </c>
      <c r="L121" t="s" s="15">
        <v>34</v>
      </c>
      <c r="M121" t="s" s="13">
        <v>31</v>
      </c>
      <c r="N121" t="s" s="13">
        <v>70</v>
      </c>
      <c r="O121" t="s" s="13">
        <v>36</v>
      </c>
      <c r="P121" s="16">
        <f>G121</f>
        <v>45029</v>
      </c>
      <c r="Q121" s="16">
        <f>P121+364</f>
        <v>45393</v>
      </c>
      <c r="R121" s="16">
        <f>Q121+1</f>
        <v>45394</v>
      </c>
      <c r="S121" s="16">
        <f>R121+29</f>
        <v>45423</v>
      </c>
      <c r="T121" s="17">
        <v>30</v>
      </c>
      <c r="U121" s="18">
        <v>0</v>
      </c>
      <c r="V121" s="18">
        <f>T121-U121</f>
        <v>30</v>
      </c>
      <c r="W121" s="16">
        <f>R121+V121</f>
        <v>45424</v>
      </c>
      <c r="X121" s="16">
        <f>S121+1</f>
        <v>45424</v>
      </c>
      <c r="Y121" s="16">
        <f>X121+365</f>
        <v>45789</v>
      </c>
      <c r="Z121" s="22"/>
      <c r="AA121" t="s" s="15">
        <v>44</v>
      </c>
      <c r="AB121" t="s" s="15">
        <v>45</v>
      </c>
      <c r="AC121" t="s" s="15">
        <v>40</v>
      </c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</row>
    <row r="122" ht="13.55" customHeight="1">
      <c r="A122" t="s" s="13">
        <f t="shared" si="1917" ref="A122:B122">"03039"</f>
        <v>438</v>
      </c>
      <c r="B122" t="s" s="13">
        <f t="shared" si="1917"/>
        <v>438</v>
      </c>
      <c r="C122" t="s" s="13">
        <f t="shared" si="107"/>
        <v>63</v>
      </c>
      <c r="D122" t="s" s="13">
        <f>"ATANGANA OBAMA"</f>
        <v>439</v>
      </c>
      <c r="E122" t="s" s="13">
        <f>"Gladys Tatiana"</f>
        <v>440</v>
      </c>
      <c r="F122" s="14">
        <v>35636</v>
      </c>
      <c r="G122" s="14">
        <v>45019</v>
      </c>
      <c r="H122" t="s" s="13">
        <f t="shared" si="14"/>
        <v>30</v>
      </c>
      <c r="I122" t="s" s="13">
        <v>74</v>
      </c>
      <c r="J122" t="s" s="13">
        <f t="shared" si="923"/>
        <v>253</v>
      </c>
      <c r="K122" t="s" s="13">
        <f t="shared" si="144"/>
        <v>76</v>
      </c>
      <c r="L122" t="s" s="15">
        <v>77</v>
      </c>
      <c r="M122" t="s" s="13">
        <v>74</v>
      </c>
      <c r="N122" t="s" s="13">
        <v>70</v>
      </c>
      <c r="O122" t="s" s="13">
        <v>36</v>
      </c>
      <c r="P122" s="16">
        <f>G122</f>
        <v>45019</v>
      </c>
      <c r="Q122" s="16">
        <f>P122+364</f>
        <v>45383</v>
      </c>
      <c r="R122" s="16">
        <f>Q122+1</f>
        <v>45384</v>
      </c>
      <c r="S122" s="16">
        <f>R122+29</f>
        <v>45413</v>
      </c>
      <c r="T122" s="17">
        <v>30</v>
      </c>
      <c r="U122" s="18">
        <v>0</v>
      </c>
      <c r="V122" s="18">
        <f>T122-U122</f>
        <v>30</v>
      </c>
      <c r="W122" s="16">
        <f>R122+V122</f>
        <v>45414</v>
      </c>
      <c r="X122" s="16">
        <f>S122+1</f>
        <v>45414</v>
      </c>
      <c r="Y122" s="16">
        <f>X122+365</f>
        <v>45779</v>
      </c>
      <c r="Z122" t="s" s="19">
        <v>37</v>
      </c>
      <c r="AA122" t="s" s="15">
        <v>44</v>
      </c>
      <c r="AB122" t="s" s="15">
        <v>45</v>
      </c>
      <c r="AC122" t="s" s="15">
        <v>78</v>
      </c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</row>
    <row r="123" ht="13.55" customHeight="1">
      <c r="A123" t="s" s="13">
        <f t="shared" si="1933" ref="A123:B123">"03040"</f>
        <v>441</v>
      </c>
      <c r="B123" t="s" s="13">
        <f t="shared" si="1933"/>
        <v>441</v>
      </c>
      <c r="C123" t="s" s="13">
        <f t="shared" si="107"/>
        <v>63</v>
      </c>
      <c r="D123" t="s" s="13">
        <f>"MAGNE"</f>
        <v>442</v>
      </c>
      <c r="E123" t="s" s="13">
        <f>"Jeanne Laure"</f>
        <v>443</v>
      </c>
      <c r="F123" s="14">
        <v>35566</v>
      </c>
      <c r="G123" s="14">
        <v>45014</v>
      </c>
      <c r="H123" t="s" s="13">
        <f t="shared" si="14"/>
        <v>30</v>
      </c>
      <c r="I123" t="s" s="13">
        <v>74</v>
      </c>
      <c r="J123" t="s" s="13">
        <f t="shared" si="764"/>
        <v>213</v>
      </c>
      <c r="K123" t="s" s="13">
        <f t="shared" si="144"/>
        <v>76</v>
      </c>
      <c r="L123" t="s" s="15">
        <v>77</v>
      </c>
      <c r="M123" t="s" s="13">
        <v>74</v>
      </c>
      <c r="N123" t="s" s="13">
        <v>70</v>
      </c>
      <c r="O123" t="s" s="13">
        <v>36</v>
      </c>
      <c r="P123" s="16">
        <f>G123</f>
        <v>45014</v>
      </c>
      <c r="Q123" s="16">
        <f>P123+364</f>
        <v>45378</v>
      </c>
      <c r="R123" s="16">
        <f>Q123+1</f>
        <v>45379</v>
      </c>
      <c r="S123" s="16">
        <f>R123+29</f>
        <v>45408</v>
      </c>
      <c r="T123" s="17">
        <v>30</v>
      </c>
      <c r="U123" s="18">
        <v>0</v>
      </c>
      <c r="V123" s="18">
        <f>T123-U123</f>
        <v>30</v>
      </c>
      <c r="W123" s="16">
        <f>R123+V123</f>
        <v>45409</v>
      </c>
      <c r="X123" s="16">
        <f>S123+1</f>
        <v>45409</v>
      </c>
      <c r="Y123" s="16">
        <f>X123+365</f>
        <v>45774</v>
      </c>
      <c r="Z123" t="s" s="19">
        <v>37</v>
      </c>
      <c r="AA123" t="s" s="15">
        <v>44</v>
      </c>
      <c r="AB123" t="s" s="15">
        <v>45</v>
      </c>
      <c r="AC123" t="s" s="15">
        <v>78</v>
      </c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</row>
    <row r="124" ht="13.55" customHeight="1">
      <c r="A124" t="s" s="13">
        <f t="shared" si="1949" ref="A124:B124">"03041"</f>
        <v>444</v>
      </c>
      <c r="B124" t="s" s="13">
        <f t="shared" si="1949"/>
        <v>444</v>
      </c>
      <c r="C124" t="s" s="13">
        <f t="shared" si="920"/>
        <v>250</v>
      </c>
      <c r="D124" t="s" s="13">
        <f>"MBA"</f>
        <v>445</v>
      </c>
      <c r="E124" t="s" s="13">
        <f>"Diane Thérèse"</f>
        <v>446</v>
      </c>
      <c r="F124" s="14">
        <v>30924</v>
      </c>
      <c r="G124" s="14">
        <v>45019</v>
      </c>
      <c r="H124" t="s" s="13">
        <v>93</v>
      </c>
      <c r="I124" t="s" s="13">
        <v>31</v>
      </c>
      <c r="J124" t="s" s="13">
        <f t="shared" si="1954" ref="J124:J160">"Agent SMI"</f>
        <v>447</v>
      </c>
      <c r="K124" t="s" s="13">
        <f t="shared" si="16"/>
        <v>33</v>
      </c>
      <c r="L124" t="s" s="15">
        <v>34</v>
      </c>
      <c r="M124" t="s" s="13">
        <v>31</v>
      </c>
      <c r="N124" t="s" s="13">
        <v>70</v>
      </c>
      <c r="O124" t="s" s="13">
        <v>36</v>
      </c>
      <c r="P124" s="16">
        <f>G124</f>
        <v>45019</v>
      </c>
      <c r="Q124" s="16">
        <f>P124+364</f>
        <v>45383</v>
      </c>
      <c r="R124" s="16">
        <f>Q124+1</f>
        <v>45384</v>
      </c>
      <c r="S124" s="16">
        <f>R124+29</f>
        <v>45413</v>
      </c>
      <c r="T124" s="17">
        <v>30</v>
      </c>
      <c r="U124" s="18">
        <v>0</v>
      </c>
      <c r="V124" s="18">
        <f>T124-U124</f>
        <v>30</v>
      </c>
      <c r="W124" s="16">
        <f>R124+V124</f>
        <v>45414</v>
      </c>
      <c r="X124" s="16">
        <f>S124+1</f>
        <v>45414</v>
      </c>
      <c r="Y124" s="16">
        <f>X124+365</f>
        <v>45779</v>
      </c>
      <c r="Z124" s="22"/>
      <c r="AA124" t="s" s="15">
        <v>44</v>
      </c>
      <c r="AB124" t="s" s="15">
        <v>45</v>
      </c>
      <c r="AC124" t="s" s="15">
        <v>40</v>
      </c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</row>
    <row r="125" ht="13.55" customHeight="1">
      <c r="A125" t="s" s="13">
        <f t="shared" si="1964" ref="A125:B125">"03042"</f>
        <v>448</v>
      </c>
      <c r="B125" t="s" s="13">
        <f t="shared" si="1964"/>
        <v>448</v>
      </c>
      <c r="C125" t="s" s="13">
        <f t="shared" si="107"/>
        <v>63</v>
      </c>
      <c r="D125" t="s" s="13">
        <f>"MANDOU NCHARE MOUNIRA"</f>
        <v>449</v>
      </c>
      <c r="E125" t="s" s="13">
        <f t="shared" si="61"/>
      </c>
      <c r="F125" s="14">
        <v>35862</v>
      </c>
      <c r="G125" s="14">
        <v>45029</v>
      </c>
      <c r="H125" t="s" s="13">
        <f t="shared" si="14"/>
        <v>30</v>
      </c>
      <c r="I125" t="s" s="13">
        <v>31</v>
      </c>
      <c r="J125" t="s" s="13">
        <f t="shared" si="764"/>
        <v>213</v>
      </c>
      <c r="K125" t="s" s="13">
        <f t="shared" si="16"/>
        <v>33</v>
      </c>
      <c r="L125" t="s" s="15">
        <v>34</v>
      </c>
      <c r="M125" t="s" s="13">
        <v>31</v>
      </c>
      <c r="N125" t="s" s="13">
        <v>70</v>
      </c>
      <c r="O125" t="s" s="13">
        <v>36</v>
      </c>
      <c r="P125" s="16">
        <f>G125</f>
        <v>45029</v>
      </c>
      <c r="Q125" s="16">
        <f>P125+364</f>
        <v>45393</v>
      </c>
      <c r="R125" s="16">
        <f>Q125+1</f>
        <v>45394</v>
      </c>
      <c r="S125" s="16">
        <f>R125+29</f>
        <v>45423</v>
      </c>
      <c r="T125" s="17">
        <v>30</v>
      </c>
      <c r="U125" s="18">
        <v>0</v>
      </c>
      <c r="V125" s="18">
        <f>T125-U125</f>
        <v>30</v>
      </c>
      <c r="W125" s="16">
        <f>R125+V125</f>
        <v>45424</v>
      </c>
      <c r="X125" s="16">
        <f>S125+1</f>
        <v>45424</v>
      </c>
      <c r="Y125" s="16">
        <f>X125+365</f>
        <v>45789</v>
      </c>
      <c r="Z125" t="s" s="19">
        <v>37</v>
      </c>
      <c r="AA125" t="s" s="15">
        <v>38</v>
      </c>
      <c r="AB125" t="s" s="15">
        <v>39</v>
      </c>
      <c r="AC125" t="s" s="15">
        <v>40</v>
      </c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</row>
    <row r="126" ht="13.55" customHeight="1">
      <c r="A126" t="s" s="13">
        <f t="shared" si="1980" ref="A126:B126">"03043"</f>
        <v>450</v>
      </c>
      <c r="B126" t="s" s="13">
        <f t="shared" si="1980"/>
        <v>450</v>
      </c>
      <c r="C126" t="s" s="13">
        <f t="shared" si="11"/>
        <v>27</v>
      </c>
      <c r="D126" t="s" s="13">
        <f>"EMANDA"</f>
        <v>451</v>
      </c>
      <c r="E126" t="s" s="13">
        <f>"Joseph Bernetel"</f>
        <v>452</v>
      </c>
      <c r="F126" s="14">
        <v>36077</v>
      </c>
      <c r="G126" s="14">
        <v>45015</v>
      </c>
      <c r="H126" t="s" s="13">
        <f t="shared" si="14"/>
        <v>30</v>
      </c>
      <c r="I126" t="s" s="13">
        <v>74</v>
      </c>
      <c r="J126" t="s" s="13">
        <f t="shared" si="159"/>
        <v>82</v>
      </c>
      <c r="K126" t="s" s="13">
        <f t="shared" si="144"/>
        <v>76</v>
      </c>
      <c r="L126" t="s" s="15">
        <v>77</v>
      </c>
      <c r="M126" t="s" s="13">
        <v>74</v>
      </c>
      <c r="N126" t="s" s="13">
        <v>35</v>
      </c>
      <c r="O126" t="s" s="13">
        <v>83</v>
      </c>
      <c r="P126" s="16">
        <f>G126</f>
        <v>45015</v>
      </c>
      <c r="Q126" s="16">
        <f>P126+364</f>
        <v>45379</v>
      </c>
      <c r="R126" s="16">
        <f>Q126+1</f>
        <v>45380</v>
      </c>
      <c r="S126" s="16">
        <f>R126+29</f>
        <v>45409</v>
      </c>
      <c r="T126" s="17">
        <v>30</v>
      </c>
      <c r="U126" s="18">
        <v>0</v>
      </c>
      <c r="V126" s="18">
        <f>T126-U126</f>
        <v>30</v>
      </c>
      <c r="W126" s="16">
        <f>R126+V126</f>
        <v>45410</v>
      </c>
      <c r="X126" s="16">
        <f>S126+1</f>
        <v>45410</v>
      </c>
      <c r="Y126" s="16">
        <f>X126+365</f>
        <v>45775</v>
      </c>
      <c r="Z126" t="s" s="19">
        <v>37</v>
      </c>
      <c r="AA126" t="s" s="15">
        <v>38</v>
      </c>
      <c r="AB126" t="s" s="15">
        <v>39</v>
      </c>
      <c r="AC126" t="s" s="15">
        <v>78</v>
      </c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</row>
    <row r="127" ht="13.55" customHeight="1">
      <c r="A127" t="s" s="13">
        <f t="shared" si="1996" ref="A127:B127">"03044"</f>
        <v>453</v>
      </c>
      <c r="B127" t="s" s="13">
        <f t="shared" si="1996"/>
        <v>453</v>
      </c>
      <c r="C127" t="s" s="13">
        <f t="shared" si="107"/>
        <v>63</v>
      </c>
      <c r="D127" t="s" s="13">
        <f>"KEMAYOU TCHAKOUNTE"</f>
        <v>454</v>
      </c>
      <c r="E127" t="s" s="13">
        <f>"Leticia"</f>
        <v>455</v>
      </c>
      <c r="F127" s="14">
        <v>33702</v>
      </c>
      <c r="G127" s="14">
        <v>45027</v>
      </c>
      <c r="H127" t="s" s="13">
        <f t="shared" si="14"/>
        <v>30</v>
      </c>
      <c r="I127" t="s" s="13">
        <v>74</v>
      </c>
      <c r="J127" t="s" s="13">
        <f t="shared" si="2002" ref="J127:J134">"Assistant Financier"</f>
        <v>456</v>
      </c>
      <c r="K127" t="s" s="13">
        <f t="shared" si="2003" ref="K127:K134">"DIRECTION COMPTA. ET FINANCES"</f>
        <v>457</v>
      </c>
      <c r="L127" s="23"/>
      <c r="M127" t="s" s="13">
        <v>74</v>
      </c>
      <c r="N127" t="s" s="13">
        <v>199</v>
      </c>
      <c r="O127" t="s" s="13">
        <v>36</v>
      </c>
      <c r="P127" s="16">
        <f>G127</f>
        <v>45027</v>
      </c>
      <c r="Q127" s="16">
        <f>P127+364</f>
        <v>45391</v>
      </c>
      <c r="R127" s="16">
        <f>Q127+1</f>
        <v>45392</v>
      </c>
      <c r="S127" s="16">
        <f>R127+29</f>
        <v>45421</v>
      </c>
      <c r="T127" s="17">
        <v>30</v>
      </c>
      <c r="U127" s="18">
        <v>0</v>
      </c>
      <c r="V127" s="18">
        <f>T127-U127</f>
        <v>30</v>
      </c>
      <c r="W127" s="16">
        <f>R127+V127</f>
        <v>45422</v>
      </c>
      <c r="X127" s="16">
        <f>S127+1</f>
        <v>45422</v>
      </c>
      <c r="Y127" s="16">
        <f>X127+365</f>
        <v>45787</v>
      </c>
      <c r="Z127" t="s" s="19">
        <v>37</v>
      </c>
      <c r="AA127" t="s" s="15">
        <v>38</v>
      </c>
      <c r="AB127" t="s" s="15">
        <v>39</v>
      </c>
      <c r="AC127" s="23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</row>
    <row r="128" ht="13.55" customHeight="1">
      <c r="A128" t="s" s="13">
        <f t="shared" si="2012" ref="A128:B128">"03045"</f>
        <v>458</v>
      </c>
      <c r="B128" t="s" s="13">
        <f t="shared" si="2012"/>
        <v>458</v>
      </c>
      <c r="C128" t="s" s="13">
        <f t="shared" si="11"/>
        <v>27</v>
      </c>
      <c r="D128" t="s" s="13">
        <f>"NAMA NOA"</f>
        <v>459</v>
      </c>
      <c r="E128" t="s" s="13">
        <f>"Marc Willy"</f>
        <v>460</v>
      </c>
      <c r="F128" s="14">
        <v>32623</v>
      </c>
      <c r="G128" s="14">
        <v>45019</v>
      </c>
      <c r="H128" t="s" s="13">
        <f t="shared" si="14"/>
        <v>30</v>
      </c>
      <c r="I128" t="s" s="13">
        <v>31</v>
      </c>
      <c r="J128" t="s" s="13">
        <f t="shared" si="159"/>
        <v>82</v>
      </c>
      <c r="K128" t="s" s="13">
        <f t="shared" si="16"/>
        <v>33</v>
      </c>
      <c r="L128" t="s" s="15">
        <v>34</v>
      </c>
      <c r="M128" t="s" s="13">
        <v>31</v>
      </c>
      <c r="N128" t="s" s="13">
        <v>35</v>
      </c>
      <c r="O128" t="s" s="13">
        <v>83</v>
      </c>
      <c r="P128" s="16">
        <f>G128</f>
        <v>45019</v>
      </c>
      <c r="Q128" s="16">
        <f>P128+364</f>
        <v>45383</v>
      </c>
      <c r="R128" s="16">
        <f>Q128+1</f>
        <v>45384</v>
      </c>
      <c r="S128" s="16">
        <f>R128+29</f>
        <v>45413</v>
      </c>
      <c r="T128" s="17">
        <v>30</v>
      </c>
      <c r="U128" s="18">
        <v>0</v>
      </c>
      <c r="V128" s="18">
        <f>T128-U128</f>
        <v>30</v>
      </c>
      <c r="W128" s="16">
        <f>R128+V128</f>
        <v>45414</v>
      </c>
      <c r="X128" s="16">
        <f>S128+1</f>
        <v>45414</v>
      </c>
      <c r="Y128" s="16">
        <f>X128+365</f>
        <v>45779</v>
      </c>
      <c r="Z128" t="s" s="19">
        <v>37</v>
      </c>
      <c r="AA128" t="s" s="15">
        <v>38</v>
      </c>
      <c r="AB128" t="s" s="15">
        <v>39</v>
      </c>
      <c r="AC128" t="s" s="15">
        <v>40</v>
      </c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</row>
    <row r="129" ht="13.55" customHeight="1">
      <c r="A129" t="s" s="13">
        <f t="shared" si="2028" ref="A129:B129">"03046"</f>
        <v>461</v>
      </c>
      <c r="B129" t="s" s="13">
        <f t="shared" si="2028"/>
        <v>461</v>
      </c>
      <c r="C129" t="s" s="13">
        <f t="shared" si="920"/>
        <v>250</v>
      </c>
      <c r="D129" t="s" s="13">
        <f>"NLATE ZO'O"</f>
        <v>462</v>
      </c>
      <c r="E129" t="s" s="13">
        <f>"Romaine Michelle"</f>
        <v>463</v>
      </c>
      <c r="F129" s="14">
        <v>33191</v>
      </c>
      <c r="G129" s="14">
        <v>45019</v>
      </c>
      <c r="H129" t="s" s="13">
        <v>93</v>
      </c>
      <c r="I129" t="s" s="13">
        <v>31</v>
      </c>
      <c r="J129" t="s" s="13">
        <f t="shared" si="159"/>
        <v>82</v>
      </c>
      <c r="K129" t="s" s="13">
        <f t="shared" si="16"/>
        <v>33</v>
      </c>
      <c r="L129" t="s" s="15">
        <v>34</v>
      </c>
      <c r="M129" t="s" s="13">
        <v>31</v>
      </c>
      <c r="N129" t="s" s="13">
        <v>35</v>
      </c>
      <c r="O129" t="s" s="13">
        <v>83</v>
      </c>
      <c r="P129" s="16">
        <f>G129</f>
        <v>45019</v>
      </c>
      <c r="Q129" s="16">
        <f>P129+364</f>
        <v>45383</v>
      </c>
      <c r="R129" s="16">
        <f>Q129+1</f>
        <v>45384</v>
      </c>
      <c r="S129" s="16">
        <f>R129+29</f>
        <v>45413</v>
      </c>
      <c r="T129" s="17">
        <v>30</v>
      </c>
      <c r="U129" s="18">
        <v>0</v>
      </c>
      <c r="V129" s="18">
        <f>T129-U129</f>
        <v>30</v>
      </c>
      <c r="W129" s="16">
        <f>R129+V129</f>
        <v>45414</v>
      </c>
      <c r="X129" s="16">
        <f>S129+1</f>
        <v>45414</v>
      </c>
      <c r="Y129" s="16">
        <f>X129+365</f>
        <v>45779</v>
      </c>
      <c r="Z129" t="s" s="19">
        <v>37</v>
      </c>
      <c r="AA129" t="s" s="15">
        <v>38</v>
      </c>
      <c r="AB129" t="s" s="15">
        <v>39</v>
      </c>
      <c r="AC129" t="s" s="15">
        <v>40</v>
      </c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</row>
    <row r="130" ht="13.55" customHeight="1">
      <c r="A130" t="s" s="13">
        <f t="shared" si="2043" ref="A130:B130">"03047"</f>
        <v>464</v>
      </c>
      <c r="B130" t="s" s="13">
        <f t="shared" si="2043"/>
        <v>464</v>
      </c>
      <c r="C130" t="s" s="13">
        <f t="shared" si="107"/>
        <v>63</v>
      </c>
      <c r="D130" t="s" s="13">
        <f>"BEKONO MA'A"</f>
        <v>465</v>
      </c>
      <c r="E130" t="s" s="13">
        <f>"Paule Olivia"</f>
        <v>466</v>
      </c>
      <c r="F130" s="14">
        <v>36419</v>
      </c>
      <c r="G130" s="14">
        <v>45029</v>
      </c>
      <c r="H130" t="s" s="13">
        <f t="shared" si="14"/>
        <v>30</v>
      </c>
      <c r="I130" t="s" s="13">
        <v>74</v>
      </c>
      <c r="J130" t="s" s="13">
        <f t="shared" si="764"/>
        <v>213</v>
      </c>
      <c r="K130" t="s" s="13">
        <f t="shared" si="144"/>
        <v>76</v>
      </c>
      <c r="L130" t="s" s="15">
        <v>77</v>
      </c>
      <c r="M130" t="s" s="13">
        <v>74</v>
      </c>
      <c r="N130" t="s" s="13">
        <v>70</v>
      </c>
      <c r="O130" t="s" s="13">
        <v>36</v>
      </c>
      <c r="P130" s="16">
        <f>G130</f>
        <v>45029</v>
      </c>
      <c r="Q130" s="16">
        <f>P130+364</f>
        <v>45393</v>
      </c>
      <c r="R130" s="16">
        <f>Q130+1</f>
        <v>45394</v>
      </c>
      <c r="S130" s="16">
        <f>R130+29</f>
        <v>45423</v>
      </c>
      <c r="T130" s="17">
        <v>30</v>
      </c>
      <c r="U130" s="18">
        <v>0</v>
      </c>
      <c r="V130" s="18">
        <f>T130-U130</f>
        <v>30</v>
      </c>
      <c r="W130" s="16">
        <f>R130+V130</f>
        <v>45424</v>
      </c>
      <c r="X130" s="16">
        <f>S130+1</f>
        <v>45424</v>
      </c>
      <c r="Y130" s="16">
        <f>X130+365</f>
        <v>45789</v>
      </c>
      <c r="Z130" t="s" s="19">
        <v>37</v>
      </c>
      <c r="AA130" t="s" s="15">
        <v>38</v>
      </c>
      <c r="AB130" t="s" s="15">
        <v>39</v>
      </c>
      <c r="AC130" t="s" s="15">
        <v>78</v>
      </c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</row>
    <row r="131" ht="13.55" customHeight="1">
      <c r="A131" t="s" s="13">
        <f t="shared" si="2059" ref="A131:B131">"03048"</f>
        <v>467</v>
      </c>
      <c r="B131" t="s" s="13">
        <f t="shared" si="2059"/>
        <v>467</v>
      </c>
      <c r="C131" t="s" s="13">
        <f t="shared" si="11"/>
        <v>27</v>
      </c>
      <c r="D131" t="s" s="13">
        <f>"OMBOLO ONGUENE"</f>
        <v>468</v>
      </c>
      <c r="E131" t="s" s="13">
        <f>"Adrien Junior"</f>
        <v>469</v>
      </c>
      <c r="F131" s="14">
        <v>35643</v>
      </c>
      <c r="G131" s="14">
        <v>45020</v>
      </c>
      <c r="H131" t="s" s="13">
        <f t="shared" si="14"/>
        <v>30</v>
      </c>
      <c r="I131" t="s" s="13">
        <v>31</v>
      </c>
      <c r="J131" t="s" s="13">
        <f t="shared" si="159"/>
        <v>82</v>
      </c>
      <c r="K131" t="s" s="13">
        <f t="shared" si="16"/>
        <v>33</v>
      </c>
      <c r="L131" t="s" s="15">
        <v>34</v>
      </c>
      <c r="M131" t="s" s="13">
        <v>31</v>
      </c>
      <c r="N131" t="s" s="13">
        <v>35</v>
      </c>
      <c r="O131" t="s" s="13">
        <v>83</v>
      </c>
      <c r="P131" s="16">
        <f>G131</f>
        <v>45020</v>
      </c>
      <c r="Q131" s="16">
        <f>P131+364</f>
        <v>45384</v>
      </c>
      <c r="R131" s="16">
        <f>Q131+1</f>
        <v>45385</v>
      </c>
      <c r="S131" s="16">
        <f>R131+29</f>
        <v>45414</v>
      </c>
      <c r="T131" s="17">
        <v>30</v>
      </c>
      <c r="U131" s="18">
        <v>0</v>
      </c>
      <c r="V131" s="18">
        <f>T131-U131</f>
        <v>30</v>
      </c>
      <c r="W131" s="16">
        <f>R131+V131</f>
        <v>45415</v>
      </c>
      <c r="X131" s="16">
        <f>S131+1</f>
        <v>45415</v>
      </c>
      <c r="Y131" s="16">
        <f>X131+365</f>
        <v>45780</v>
      </c>
      <c r="Z131" t="s" s="19">
        <v>37</v>
      </c>
      <c r="AA131" t="s" s="15">
        <v>38</v>
      </c>
      <c r="AB131" t="s" s="15">
        <v>39</v>
      </c>
      <c r="AC131" t="s" s="15">
        <v>40</v>
      </c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</row>
    <row r="132" ht="13.55" customHeight="1">
      <c r="A132" t="s" s="13">
        <f t="shared" si="2075" ref="A132:B132">"03049"</f>
        <v>470</v>
      </c>
      <c r="B132" t="s" s="13">
        <f t="shared" si="2075"/>
        <v>470</v>
      </c>
      <c r="C132" t="s" s="13">
        <f t="shared" si="11"/>
        <v>27</v>
      </c>
      <c r="D132" t="s" s="13">
        <f>"DUPOND"</f>
        <v>471</v>
      </c>
      <c r="E132" t="s" s="13">
        <f>"Samuel Gilles"</f>
        <v>472</v>
      </c>
      <c r="F132" s="14">
        <v>33619</v>
      </c>
      <c r="G132" s="14">
        <v>45020</v>
      </c>
      <c r="H132" t="s" s="13">
        <f t="shared" si="14"/>
        <v>30</v>
      </c>
      <c r="I132" t="s" s="13">
        <v>31</v>
      </c>
      <c r="J132" t="s" s="13">
        <f t="shared" si="159"/>
        <v>82</v>
      </c>
      <c r="K132" t="s" s="13">
        <f t="shared" si="16"/>
        <v>33</v>
      </c>
      <c r="L132" t="s" s="15">
        <v>34</v>
      </c>
      <c r="M132" t="s" s="13">
        <v>31</v>
      </c>
      <c r="N132" t="s" s="13">
        <v>35</v>
      </c>
      <c r="O132" t="s" s="13">
        <v>83</v>
      </c>
      <c r="P132" s="16">
        <f>G132</f>
        <v>45020</v>
      </c>
      <c r="Q132" s="16">
        <f>P132+364</f>
        <v>45384</v>
      </c>
      <c r="R132" s="16">
        <f>Q132+1</f>
        <v>45385</v>
      </c>
      <c r="S132" s="16">
        <f>R132+29</f>
        <v>45414</v>
      </c>
      <c r="T132" s="17">
        <v>30</v>
      </c>
      <c r="U132" s="18">
        <v>0</v>
      </c>
      <c r="V132" s="18">
        <f>T132-U132</f>
        <v>30</v>
      </c>
      <c r="W132" s="16">
        <f>R132+V132</f>
        <v>45415</v>
      </c>
      <c r="X132" s="16">
        <f>S132+1</f>
        <v>45415</v>
      </c>
      <c r="Y132" s="16">
        <f>X132+365</f>
        <v>45780</v>
      </c>
      <c r="Z132" t="s" s="19">
        <v>37</v>
      </c>
      <c r="AA132" t="s" s="15">
        <v>38</v>
      </c>
      <c r="AB132" t="s" s="15">
        <v>39</v>
      </c>
      <c r="AC132" t="s" s="15">
        <v>40</v>
      </c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</row>
    <row r="133" ht="13.55" customHeight="1">
      <c r="A133" t="s" s="13">
        <f t="shared" si="2091" ref="A133:B133">"03050"</f>
        <v>473</v>
      </c>
      <c r="B133" t="s" s="13">
        <f t="shared" si="2091"/>
        <v>473</v>
      </c>
      <c r="C133" t="s" s="13">
        <f t="shared" si="11"/>
        <v>27</v>
      </c>
      <c r="D133" t="s" s="13">
        <f>"NOUPIATCHE KADJIBOUE"</f>
        <v>474</v>
      </c>
      <c r="E133" t="s" s="13">
        <f>"Bernard"</f>
        <v>475</v>
      </c>
      <c r="F133" s="14">
        <v>33019</v>
      </c>
      <c r="G133" s="14">
        <v>45028</v>
      </c>
      <c r="H133" t="s" s="13">
        <f t="shared" si="14"/>
        <v>30</v>
      </c>
      <c r="I133" t="s" s="13">
        <v>74</v>
      </c>
      <c r="J133" t="s" s="13">
        <f t="shared" si="987"/>
        <v>267</v>
      </c>
      <c r="K133" t="s" s="13">
        <f t="shared" si="144"/>
        <v>76</v>
      </c>
      <c r="L133" t="s" s="15">
        <v>77</v>
      </c>
      <c r="M133" t="s" s="13">
        <v>74</v>
      </c>
      <c r="N133" t="s" s="13">
        <v>70</v>
      </c>
      <c r="O133" t="s" s="13">
        <v>36</v>
      </c>
      <c r="P133" s="16">
        <f>G133</f>
        <v>45028</v>
      </c>
      <c r="Q133" s="16">
        <f>P133+364</f>
        <v>45392</v>
      </c>
      <c r="R133" s="16">
        <f>Q133+1</f>
        <v>45393</v>
      </c>
      <c r="S133" s="16">
        <f>R133+29</f>
        <v>45422</v>
      </c>
      <c r="T133" s="17">
        <v>30</v>
      </c>
      <c r="U133" s="18">
        <v>0</v>
      </c>
      <c r="V133" s="18">
        <f>T133-U133</f>
        <v>30</v>
      </c>
      <c r="W133" s="16">
        <f>R133+V133</f>
        <v>45423</v>
      </c>
      <c r="X133" s="16">
        <f>S133+1</f>
        <v>45423</v>
      </c>
      <c r="Y133" s="16">
        <f>X133+365</f>
        <v>45788</v>
      </c>
      <c r="Z133" t="s" s="19">
        <v>37</v>
      </c>
      <c r="AA133" t="s" s="15">
        <v>38</v>
      </c>
      <c r="AB133" t="s" s="15">
        <v>39</v>
      </c>
      <c r="AC133" t="s" s="15">
        <v>78</v>
      </c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</row>
    <row r="134" ht="13.55" customHeight="1">
      <c r="A134" t="s" s="13">
        <f t="shared" si="2107" ref="A134:B134">"03051"</f>
        <v>476</v>
      </c>
      <c r="B134" t="s" s="13">
        <f t="shared" si="2107"/>
        <v>476</v>
      </c>
      <c r="C134" t="s" s="13">
        <f t="shared" si="107"/>
        <v>63</v>
      </c>
      <c r="D134" t="s" s="13">
        <f>"Jessica Lauren Ruth ESSOME"</f>
        <v>477</v>
      </c>
      <c r="E134" t="s" s="13">
        <f t="shared" si="61"/>
      </c>
      <c r="F134" s="14">
        <v>36254</v>
      </c>
      <c r="G134" s="14">
        <v>45033</v>
      </c>
      <c r="H134" t="s" s="13">
        <f t="shared" si="14"/>
        <v>30</v>
      </c>
      <c r="I134" t="s" s="13">
        <v>74</v>
      </c>
      <c r="J134" t="s" s="13">
        <f t="shared" si="2002"/>
        <v>456</v>
      </c>
      <c r="K134" t="s" s="13">
        <f t="shared" si="2003"/>
        <v>457</v>
      </c>
      <c r="L134" s="23"/>
      <c r="M134" t="s" s="13">
        <v>74</v>
      </c>
      <c r="N134" t="s" s="13">
        <v>199</v>
      </c>
      <c r="O134" t="s" s="13">
        <v>36</v>
      </c>
      <c r="P134" s="16">
        <f>G134</f>
        <v>45033</v>
      </c>
      <c r="Q134" s="16">
        <f>P134+364</f>
        <v>45397</v>
      </c>
      <c r="R134" s="16">
        <f>Q134+1</f>
        <v>45398</v>
      </c>
      <c r="S134" s="16">
        <f>R134+29</f>
        <v>45427</v>
      </c>
      <c r="T134" s="17">
        <v>30</v>
      </c>
      <c r="U134" s="18">
        <v>0</v>
      </c>
      <c r="V134" s="18">
        <f>T134-U134</f>
        <v>30</v>
      </c>
      <c r="W134" s="16">
        <f>R134+V134</f>
        <v>45428</v>
      </c>
      <c r="X134" s="16">
        <f>S134+1</f>
        <v>45428</v>
      </c>
      <c r="Y134" s="16">
        <f>X134+365</f>
        <v>45793</v>
      </c>
      <c r="Z134" t="s" s="19">
        <v>37</v>
      </c>
      <c r="AA134" t="s" s="15">
        <v>38</v>
      </c>
      <c r="AB134" t="s" s="15">
        <v>39</v>
      </c>
      <c r="AC134" t="s" s="15">
        <v>40</v>
      </c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</row>
    <row r="135" ht="13.55" customHeight="1">
      <c r="A135" t="s" s="13">
        <f t="shared" si="2123" ref="A135:B135">"03052"</f>
        <v>478</v>
      </c>
      <c r="B135" t="s" s="13">
        <f t="shared" si="2123"/>
        <v>478</v>
      </c>
      <c r="C135" t="s" s="13">
        <f t="shared" si="11"/>
        <v>27</v>
      </c>
      <c r="D135" t="s" s="13">
        <f>"KAMPETE"</f>
        <v>479</v>
      </c>
      <c r="E135" t="s" s="13">
        <f>"Dominique"</f>
        <v>480</v>
      </c>
      <c r="F135" s="14">
        <v>35186</v>
      </c>
      <c r="G135" s="14">
        <v>45033</v>
      </c>
      <c r="H135" t="s" s="13">
        <f t="shared" si="14"/>
        <v>30</v>
      </c>
      <c r="I135" t="s" s="13">
        <v>31</v>
      </c>
      <c r="J135" t="s" s="13">
        <f t="shared" si="987"/>
        <v>267</v>
      </c>
      <c r="K135" t="s" s="13">
        <f t="shared" si="16"/>
        <v>33</v>
      </c>
      <c r="L135" t="s" s="15">
        <v>34</v>
      </c>
      <c r="M135" t="s" s="13">
        <v>31</v>
      </c>
      <c r="N135" t="s" s="13">
        <v>70</v>
      </c>
      <c r="O135" t="s" s="13">
        <v>36</v>
      </c>
      <c r="P135" s="16">
        <f>G135</f>
        <v>45033</v>
      </c>
      <c r="Q135" s="16">
        <f>P135+364</f>
        <v>45397</v>
      </c>
      <c r="R135" s="16">
        <f>Q135+1</f>
        <v>45398</v>
      </c>
      <c r="S135" s="16">
        <f>R135+29</f>
        <v>45427</v>
      </c>
      <c r="T135" s="17">
        <v>30</v>
      </c>
      <c r="U135" s="18">
        <v>0</v>
      </c>
      <c r="V135" s="18">
        <f>T135-U135</f>
        <v>30</v>
      </c>
      <c r="W135" s="16">
        <f>R135+V135</f>
        <v>45428</v>
      </c>
      <c r="X135" s="16">
        <f>S135+1</f>
        <v>45428</v>
      </c>
      <c r="Y135" s="16">
        <f>X135+365</f>
        <v>45793</v>
      </c>
      <c r="Z135" s="22"/>
      <c r="AA135" t="s" s="15">
        <v>38</v>
      </c>
      <c r="AB135" t="s" s="15">
        <v>39</v>
      </c>
      <c r="AC135" t="s" s="15">
        <v>40</v>
      </c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</row>
    <row r="136" ht="13.55" customHeight="1">
      <c r="A136" t="s" s="13">
        <f t="shared" si="2139" ref="A136:B136">"03053"</f>
        <v>481</v>
      </c>
      <c r="B136" t="s" s="13">
        <f t="shared" si="2139"/>
        <v>481</v>
      </c>
      <c r="C136" t="s" s="13">
        <f t="shared" si="11"/>
        <v>27</v>
      </c>
      <c r="D136" t="s" s="13">
        <f>"LIDJO"</f>
        <v>482</v>
      </c>
      <c r="E136" t="s" s="13">
        <f>"Arbogaste"</f>
        <v>483</v>
      </c>
      <c r="F136" s="14">
        <v>32705</v>
      </c>
      <c r="G136" s="14">
        <v>45033</v>
      </c>
      <c r="H136" t="s" s="13">
        <f t="shared" si="14"/>
        <v>30</v>
      </c>
      <c r="I136" t="s" s="13">
        <v>31</v>
      </c>
      <c r="J136" t="s" s="13">
        <f t="shared" si="1099"/>
        <v>292</v>
      </c>
      <c r="K136" t="s" s="13">
        <f t="shared" si="16"/>
        <v>33</v>
      </c>
      <c r="L136" t="s" s="15">
        <v>34</v>
      </c>
      <c r="M136" t="s" s="13">
        <v>31</v>
      </c>
      <c r="N136" t="s" s="13">
        <v>70</v>
      </c>
      <c r="O136" t="s" s="13">
        <v>36</v>
      </c>
      <c r="P136" s="16">
        <f>G136</f>
        <v>45033</v>
      </c>
      <c r="Q136" s="16">
        <f>P136+364</f>
        <v>45397</v>
      </c>
      <c r="R136" s="16">
        <f>Q136+1</f>
        <v>45398</v>
      </c>
      <c r="S136" s="16">
        <f>R136+29</f>
        <v>45427</v>
      </c>
      <c r="T136" s="17">
        <v>30</v>
      </c>
      <c r="U136" s="18">
        <v>0</v>
      </c>
      <c r="V136" s="18">
        <f>T136-U136</f>
        <v>30</v>
      </c>
      <c r="W136" s="16">
        <f>R136+V136</f>
        <v>45428</v>
      </c>
      <c r="X136" s="16">
        <f>S136+1</f>
        <v>45428</v>
      </c>
      <c r="Y136" s="16">
        <f>X136+365</f>
        <v>45793</v>
      </c>
      <c r="Z136" t="s" s="19">
        <v>37</v>
      </c>
      <c r="AA136" t="s" s="15">
        <v>44</v>
      </c>
      <c r="AB136" t="s" s="15">
        <v>45</v>
      </c>
      <c r="AC136" t="s" s="15">
        <v>40</v>
      </c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</row>
    <row r="137" ht="13.55" customHeight="1">
      <c r="A137" t="s" s="13">
        <f t="shared" si="2155" ref="A137:B137">"03054"</f>
        <v>484</v>
      </c>
      <c r="B137" t="s" s="13">
        <f t="shared" si="2155"/>
        <v>484</v>
      </c>
      <c r="C137" t="s" s="13">
        <f t="shared" si="11"/>
        <v>27</v>
      </c>
      <c r="D137" t="s" s="13">
        <f>"ELE MEVA'A"</f>
        <v>485</v>
      </c>
      <c r="E137" t="s" s="13">
        <f>"Hugues Donald"</f>
        <v>486</v>
      </c>
      <c r="F137" s="14">
        <v>33250</v>
      </c>
      <c r="G137" s="14">
        <v>45033</v>
      </c>
      <c r="H137" t="s" s="13">
        <f t="shared" si="14"/>
        <v>30</v>
      </c>
      <c r="I137" t="s" s="13">
        <v>31</v>
      </c>
      <c r="J137" t="s" s="13">
        <f t="shared" si="1099"/>
        <v>292</v>
      </c>
      <c r="K137" t="s" s="13">
        <f t="shared" si="16"/>
        <v>33</v>
      </c>
      <c r="L137" t="s" s="15">
        <v>34</v>
      </c>
      <c r="M137" t="s" s="13">
        <v>31</v>
      </c>
      <c r="N137" t="s" s="13">
        <v>70</v>
      </c>
      <c r="O137" t="s" s="13">
        <v>36</v>
      </c>
      <c r="P137" s="16">
        <f>G137</f>
        <v>45033</v>
      </c>
      <c r="Q137" s="16">
        <f>P137+364</f>
        <v>45397</v>
      </c>
      <c r="R137" s="16">
        <f>Q137+1</f>
        <v>45398</v>
      </c>
      <c r="S137" s="16">
        <f>R137+29</f>
        <v>45427</v>
      </c>
      <c r="T137" s="17">
        <v>30</v>
      </c>
      <c r="U137" s="18">
        <v>0</v>
      </c>
      <c r="V137" s="18">
        <f>T137-U137</f>
        <v>30</v>
      </c>
      <c r="W137" s="16">
        <f>R137+V137</f>
        <v>45428</v>
      </c>
      <c r="X137" s="16">
        <f>S137+1</f>
        <v>45428</v>
      </c>
      <c r="Y137" s="16">
        <f>X137+365</f>
        <v>45793</v>
      </c>
      <c r="Z137" t="s" s="19">
        <v>37</v>
      </c>
      <c r="AA137" t="s" s="15">
        <v>44</v>
      </c>
      <c r="AB137" t="s" s="15">
        <v>45</v>
      </c>
      <c r="AC137" t="s" s="15">
        <v>40</v>
      </c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</row>
    <row r="138" ht="13.55" customHeight="1">
      <c r="A138" t="s" s="13">
        <f t="shared" si="2171" ref="A138:B138">"03055"</f>
        <v>487</v>
      </c>
      <c r="B138" t="s" s="13">
        <f t="shared" si="2171"/>
        <v>487</v>
      </c>
      <c r="C138" t="s" s="13">
        <f t="shared" si="920"/>
        <v>250</v>
      </c>
      <c r="D138" t="s" s="13">
        <f>"ALADJI MOUSTAPHA"</f>
        <v>488</v>
      </c>
      <c r="E138" t="s" s="13">
        <f t="shared" si="61"/>
      </c>
      <c r="F138" s="14">
        <v>36541</v>
      </c>
      <c r="G138" s="14">
        <v>45030</v>
      </c>
      <c r="H138" t="s" s="13">
        <v>93</v>
      </c>
      <c r="I138" t="s" s="13">
        <v>31</v>
      </c>
      <c r="J138" t="s" s="13">
        <f t="shared" si="764"/>
        <v>213</v>
      </c>
      <c r="K138" t="s" s="13">
        <f t="shared" si="16"/>
        <v>33</v>
      </c>
      <c r="L138" t="s" s="15">
        <v>34</v>
      </c>
      <c r="M138" t="s" s="13">
        <v>31</v>
      </c>
      <c r="N138" t="s" s="13">
        <v>70</v>
      </c>
      <c r="O138" t="s" s="13">
        <v>36</v>
      </c>
      <c r="P138" s="16">
        <f>G138</f>
        <v>45030</v>
      </c>
      <c r="Q138" s="16">
        <f>P138+364</f>
        <v>45394</v>
      </c>
      <c r="R138" s="16">
        <f>Q138+1</f>
        <v>45395</v>
      </c>
      <c r="S138" s="16">
        <f>R138+29</f>
        <v>45424</v>
      </c>
      <c r="T138" s="17">
        <v>30</v>
      </c>
      <c r="U138" s="18">
        <v>0</v>
      </c>
      <c r="V138" s="18">
        <f>T138-U138</f>
        <v>30</v>
      </c>
      <c r="W138" s="16">
        <f>R138+V138</f>
        <v>45425</v>
      </c>
      <c r="X138" s="16">
        <f>S138+1</f>
        <v>45425</v>
      </c>
      <c r="Y138" s="16">
        <f>X138+365</f>
        <v>45790</v>
      </c>
      <c r="Z138" t="s" s="19">
        <v>37</v>
      </c>
      <c r="AA138" t="s" s="15">
        <v>44</v>
      </c>
      <c r="AB138" t="s" s="15">
        <v>45</v>
      </c>
      <c r="AC138" t="s" s="15">
        <v>40</v>
      </c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</row>
    <row r="139" ht="13.55" customHeight="1">
      <c r="A139" t="s" s="13">
        <f t="shared" si="2186" ref="A139:B139">"03056"</f>
        <v>489</v>
      </c>
      <c r="B139" t="s" s="13">
        <f t="shared" si="2186"/>
        <v>489</v>
      </c>
      <c r="C139" t="s" s="13">
        <f t="shared" si="11"/>
        <v>27</v>
      </c>
      <c r="D139" t="s" s="13">
        <f>"YSSA IBN YSSA"</f>
        <v>490</v>
      </c>
      <c r="E139" t="s" s="13">
        <f t="shared" si="61"/>
      </c>
      <c r="F139" s="14">
        <v>33745</v>
      </c>
      <c r="G139" s="14">
        <v>45026</v>
      </c>
      <c r="H139" t="s" s="13">
        <v>93</v>
      </c>
      <c r="I139" t="s" s="13">
        <v>74</v>
      </c>
      <c r="J139" t="s" s="13">
        <f t="shared" si="15"/>
        <v>32</v>
      </c>
      <c r="K139" t="s" s="13">
        <f t="shared" si="144"/>
        <v>76</v>
      </c>
      <c r="L139" t="s" s="15">
        <v>77</v>
      </c>
      <c r="M139" t="s" s="13">
        <v>74</v>
      </c>
      <c r="N139" t="s" s="13">
        <v>35</v>
      </c>
      <c r="O139" t="s" s="13">
        <v>83</v>
      </c>
      <c r="P139" s="16">
        <f>G139</f>
        <v>45026</v>
      </c>
      <c r="Q139" s="16">
        <f>P139+364</f>
        <v>45390</v>
      </c>
      <c r="R139" s="16">
        <f>Q139+1</f>
        <v>45391</v>
      </c>
      <c r="S139" s="16">
        <f>R139+29</f>
        <v>45420</v>
      </c>
      <c r="T139" s="17">
        <v>30</v>
      </c>
      <c r="U139" s="18">
        <v>0</v>
      </c>
      <c r="V139" s="18">
        <f>T139-U139</f>
        <v>30</v>
      </c>
      <c r="W139" s="16">
        <f>R139+V139</f>
        <v>45421</v>
      </c>
      <c r="X139" s="16">
        <f>S139+1</f>
        <v>45421</v>
      </c>
      <c r="Y139" s="16">
        <f>X139+365</f>
        <v>45786</v>
      </c>
      <c r="Z139" t="s" s="19">
        <v>37</v>
      </c>
      <c r="AA139" t="s" s="15">
        <v>44</v>
      </c>
      <c r="AB139" t="s" s="15">
        <v>45</v>
      </c>
      <c r="AC139" t="s" s="15">
        <v>78</v>
      </c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</row>
    <row r="140" ht="13.55" customHeight="1">
      <c r="A140" t="s" s="13">
        <f t="shared" si="2201" ref="A140:B140">"03057"</f>
        <v>491</v>
      </c>
      <c r="B140" t="s" s="13">
        <f t="shared" si="2201"/>
        <v>491</v>
      </c>
      <c r="C140" t="s" s="13">
        <f t="shared" si="11"/>
        <v>27</v>
      </c>
      <c r="D140" t="s" s="13">
        <f>"MENDJANG"</f>
        <v>492</v>
      </c>
      <c r="E140" t="s" s="13">
        <f>"Luc Chamberlin"</f>
        <v>493</v>
      </c>
      <c r="F140" s="14">
        <v>33920</v>
      </c>
      <c r="G140" s="14">
        <v>45027</v>
      </c>
      <c r="H140" t="s" s="13">
        <v>93</v>
      </c>
      <c r="I140" t="s" s="13">
        <v>74</v>
      </c>
      <c r="J140" t="s" s="13">
        <f t="shared" si="15"/>
        <v>32</v>
      </c>
      <c r="K140" t="s" s="13">
        <f t="shared" si="144"/>
        <v>76</v>
      </c>
      <c r="L140" t="s" s="15">
        <v>77</v>
      </c>
      <c r="M140" t="s" s="13">
        <v>74</v>
      </c>
      <c r="N140" t="s" s="13">
        <v>35</v>
      </c>
      <c r="O140" t="s" s="13">
        <v>83</v>
      </c>
      <c r="P140" s="16">
        <f>G140</f>
        <v>45027</v>
      </c>
      <c r="Q140" s="16">
        <f>P140+364</f>
        <v>45391</v>
      </c>
      <c r="R140" s="16">
        <f>Q140+1</f>
        <v>45392</v>
      </c>
      <c r="S140" s="16">
        <f>R140+29</f>
        <v>45421</v>
      </c>
      <c r="T140" s="17">
        <v>30</v>
      </c>
      <c r="U140" s="18">
        <v>0</v>
      </c>
      <c r="V140" s="18">
        <f>T140-U140</f>
        <v>30</v>
      </c>
      <c r="W140" s="16">
        <f>R140+V140</f>
        <v>45422</v>
      </c>
      <c r="X140" s="16">
        <f>S140+1</f>
        <v>45422</v>
      </c>
      <c r="Y140" s="16">
        <f>X140+365</f>
        <v>45787</v>
      </c>
      <c r="Z140" t="s" s="19">
        <v>37</v>
      </c>
      <c r="AA140" t="s" s="15">
        <v>44</v>
      </c>
      <c r="AB140" t="s" s="15">
        <v>45</v>
      </c>
      <c r="AC140" t="s" s="15">
        <v>78</v>
      </c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</row>
    <row r="141" ht="13.55" customHeight="1">
      <c r="A141" t="s" s="13">
        <f t="shared" si="2216" ref="A141:B141">"03058"</f>
        <v>494</v>
      </c>
      <c r="B141" t="s" s="13">
        <f t="shared" si="2216"/>
        <v>494</v>
      </c>
      <c r="C141" t="s" s="13">
        <f t="shared" si="11"/>
        <v>27</v>
      </c>
      <c r="D141" t="s" s="13">
        <f>"MBESSEANG NGANG"</f>
        <v>495</v>
      </c>
      <c r="E141" t="s" s="13">
        <f>"Blériot Raoul"</f>
        <v>496</v>
      </c>
      <c r="F141" s="14">
        <v>33090</v>
      </c>
      <c r="G141" s="14">
        <v>45028</v>
      </c>
      <c r="H141" t="s" s="13">
        <f t="shared" si="14"/>
        <v>30</v>
      </c>
      <c r="I141" t="s" s="13">
        <v>74</v>
      </c>
      <c r="J141" t="s" s="13">
        <f t="shared" si="15"/>
        <v>32</v>
      </c>
      <c r="K141" t="s" s="13">
        <f t="shared" si="144"/>
        <v>76</v>
      </c>
      <c r="L141" t="s" s="15">
        <v>77</v>
      </c>
      <c r="M141" t="s" s="13">
        <v>74</v>
      </c>
      <c r="N141" t="s" s="13">
        <v>35</v>
      </c>
      <c r="O141" t="s" s="13">
        <v>83</v>
      </c>
      <c r="P141" s="16">
        <f>G141</f>
        <v>45028</v>
      </c>
      <c r="Q141" s="16">
        <f>P141+364</f>
        <v>45392</v>
      </c>
      <c r="R141" s="16">
        <f>Q141+1</f>
        <v>45393</v>
      </c>
      <c r="S141" s="16">
        <f>R141+29</f>
        <v>45422</v>
      </c>
      <c r="T141" s="17">
        <v>30</v>
      </c>
      <c r="U141" s="18">
        <v>0</v>
      </c>
      <c r="V141" s="18">
        <f>T141-U141</f>
        <v>30</v>
      </c>
      <c r="W141" s="16">
        <f>R141+V141</f>
        <v>45423</v>
      </c>
      <c r="X141" s="16">
        <f>S141+1</f>
        <v>45423</v>
      </c>
      <c r="Y141" s="16">
        <f>X141+365</f>
        <v>45788</v>
      </c>
      <c r="Z141" t="s" s="19">
        <v>37</v>
      </c>
      <c r="AA141" t="s" s="15">
        <v>44</v>
      </c>
      <c r="AB141" t="s" s="15">
        <v>45</v>
      </c>
      <c r="AC141" t="s" s="15">
        <v>78</v>
      </c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</row>
    <row r="142" ht="13.55" customHeight="1">
      <c r="A142" t="s" s="13">
        <f t="shared" si="2232" ref="A142:B142">"03059"</f>
        <v>497</v>
      </c>
      <c r="B142" t="s" s="13">
        <f t="shared" si="2232"/>
        <v>497</v>
      </c>
      <c r="C142" t="s" s="13">
        <f t="shared" si="11"/>
        <v>27</v>
      </c>
      <c r="D142" t="s" s="13">
        <f>"METON MESSINA YAOVI DOUZANI"</f>
        <v>498</v>
      </c>
      <c r="E142" t="s" s="13">
        <f t="shared" si="61"/>
      </c>
      <c r="F142" s="14">
        <v>35579</v>
      </c>
      <c r="G142" s="14">
        <v>45030</v>
      </c>
      <c r="H142" t="s" s="13">
        <f t="shared" si="14"/>
        <v>30</v>
      </c>
      <c r="I142" t="s" s="13">
        <v>31</v>
      </c>
      <c r="J142" t="s" s="13">
        <f t="shared" si="127"/>
        <v>69</v>
      </c>
      <c r="K142" t="s" s="13">
        <f t="shared" si="16"/>
        <v>33</v>
      </c>
      <c r="L142" t="s" s="15">
        <v>34</v>
      </c>
      <c r="M142" t="s" s="13">
        <v>31</v>
      </c>
      <c r="N142" t="s" s="13">
        <v>70</v>
      </c>
      <c r="O142" t="s" s="13">
        <v>36</v>
      </c>
      <c r="P142" s="16">
        <f>G142</f>
        <v>45030</v>
      </c>
      <c r="Q142" s="16">
        <f>P142+364</f>
        <v>45394</v>
      </c>
      <c r="R142" s="16">
        <f>Q142+1</f>
        <v>45395</v>
      </c>
      <c r="S142" s="16">
        <f>R142+29</f>
        <v>45424</v>
      </c>
      <c r="T142" s="17">
        <v>30</v>
      </c>
      <c r="U142" s="18">
        <v>0</v>
      </c>
      <c r="V142" s="18">
        <f>T142-U142</f>
        <v>30</v>
      </c>
      <c r="W142" s="16">
        <f>R142+V142</f>
        <v>45425</v>
      </c>
      <c r="X142" s="16">
        <f>S142+1</f>
        <v>45425</v>
      </c>
      <c r="Y142" s="16">
        <f>X142+365</f>
        <v>45790</v>
      </c>
      <c r="Z142" t="s" s="19">
        <v>37</v>
      </c>
      <c r="AA142" t="s" s="15">
        <v>44</v>
      </c>
      <c r="AB142" t="s" s="15">
        <v>45</v>
      </c>
      <c r="AC142" t="s" s="15">
        <v>40</v>
      </c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</row>
    <row r="143" ht="13.55" customHeight="1">
      <c r="A143" t="s" s="13">
        <f t="shared" si="2248" ref="A143:B143">"03060"</f>
        <v>499</v>
      </c>
      <c r="B143" t="s" s="13">
        <f t="shared" si="2248"/>
        <v>499</v>
      </c>
      <c r="C143" t="s" s="13">
        <f t="shared" si="107"/>
        <v>63</v>
      </c>
      <c r="D143" t="s" s="13">
        <f>"NNOMO ONDOA"</f>
        <v>500</v>
      </c>
      <c r="E143" t="s" s="13">
        <f>"Régine Honorine"</f>
        <v>501</v>
      </c>
      <c r="F143" s="14">
        <v>30838</v>
      </c>
      <c r="G143" s="14">
        <v>45033</v>
      </c>
      <c r="H143" t="s" s="13">
        <f t="shared" si="14"/>
        <v>30</v>
      </c>
      <c r="I143" t="s" s="13">
        <v>74</v>
      </c>
      <c r="J143" t="s" s="13">
        <f t="shared" si="159"/>
        <v>82</v>
      </c>
      <c r="K143" t="s" s="13">
        <f t="shared" si="144"/>
        <v>76</v>
      </c>
      <c r="L143" t="s" s="15">
        <v>77</v>
      </c>
      <c r="M143" t="s" s="13">
        <v>74</v>
      </c>
      <c r="N143" t="s" s="13">
        <v>35</v>
      </c>
      <c r="O143" t="s" s="13">
        <v>83</v>
      </c>
      <c r="P143" s="16">
        <f>G143</f>
        <v>45033</v>
      </c>
      <c r="Q143" s="16">
        <f>P143+364</f>
        <v>45397</v>
      </c>
      <c r="R143" s="16">
        <f>Q143+1</f>
        <v>45398</v>
      </c>
      <c r="S143" s="16">
        <f>R143+29</f>
        <v>45427</v>
      </c>
      <c r="T143" s="17">
        <v>30</v>
      </c>
      <c r="U143" s="18">
        <v>0</v>
      </c>
      <c r="V143" s="18">
        <f>T143-U143</f>
        <v>30</v>
      </c>
      <c r="W143" s="16">
        <f>R143+V143</f>
        <v>45428</v>
      </c>
      <c r="X143" s="16">
        <f>S143+1</f>
        <v>45428</v>
      </c>
      <c r="Y143" s="16">
        <f>X143+365</f>
        <v>45793</v>
      </c>
      <c r="Z143" t="s" s="19">
        <v>37</v>
      </c>
      <c r="AA143" t="s" s="15">
        <v>44</v>
      </c>
      <c r="AB143" t="s" s="15">
        <v>45</v>
      </c>
      <c r="AC143" t="s" s="15">
        <v>78</v>
      </c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</row>
    <row r="144" ht="13.55" customHeight="1">
      <c r="A144" t="s" s="13">
        <f t="shared" si="2264" ref="A144:B144">"03061"</f>
        <v>502</v>
      </c>
      <c r="B144" t="s" s="13">
        <f t="shared" si="2264"/>
        <v>502</v>
      </c>
      <c r="C144" t="s" s="13">
        <f t="shared" si="107"/>
        <v>63</v>
      </c>
      <c r="D144" t="s" s="13">
        <f>"NDI"</f>
        <v>503</v>
      </c>
      <c r="E144" t="s" s="13">
        <f>"Marcelle Erika"</f>
        <v>504</v>
      </c>
      <c r="F144" s="14">
        <v>36811</v>
      </c>
      <c r="G144" s="14">
        <v>45040</v>
      </c>
      <c r="H144" t="s" s="13">
        <f t="shared" si="14"/>
        <v>30</v>
      </c>
      <c r="I144" t="s" s="13">
        <v>31</v>
      </c>
      <c r="J144" t="s" s="13">
        <f t="shared" si="159"/>
        <v>82</v>
      </c>
      <c r="K144" t="s" s="13">
        <f t="shared" si="16"/>
        <v>33</v>
      </c>
      <c r="L144" t="s" s="15">
        <v>34</v>
      </c>
      <c r="M144" t="s" s="13">
        <v>31</v>
      </c>
      <c r="N144" t="s" s="13">
        <v>35</v>
      </c>
      <c r="O144" t="s" s="13">
        <v>83</v>
      </c>
      <c r="P144" s="16">
        <f>G144</f>
        <v>45040</v>
      </c>
      <c r="Q144" s="16">
        <f>P144+364</f>
        <v>45404</v>
      </c>
      <c r="R144" s="16">
        <f>Q144+1</f>
        <v>45405</v>
      </c>
      <c r="S144" s="16">
        <f>R144+29</f>
        <v>45434</v>
      </c>
      <c r="T144" s="17">
        <v>30</v>
      </c>
      <c r="U144" s="18">
        <v>0</v>
      </c>
      <c r="V144" s="18">
        <f>T144-U144</f>
        <v>30</v>
      </c>
      <c r="W144" s="16">
        <f>R144+V144</f>
        <v>45435</v>
      </c>
      <c r="X144" s="16">
        <f>S144+1</f>
        <v>45435</v>
      </c>
      <c r="Y144" s="16">
        <f>X144+365</f>
        <v>45800</v>
      </c>
      <c r="Z144" t="s" s="19">
        <v>37</v>
      </c>
      <c r="AA144" t="s" s="15">
        <v>44</v>
      </c>
      <c r="AB144" t="s" s="15">
        <v>45</v>
      </c>
      <c r="AC144" t="s" s="15">
        <v>40</v>
      </c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</row>
    <row r="145" ht="13.55" customHeight="1">
      <c r="A145" t="s" s="13">
        <f t="shared" si="2280" ref="A145:B145">"03062"</f>
        <v>505</v>
      </c>
      <c r="B145" t="s" s="13">
        <f t="shared" si="2280"/>
        <v>505</v>
      </c>
      <c r="C145" t="s" s="13">
        <f t="shared" si="11"/>
        <v>27</v>
      </c>
      <c r="D145" t="s" s="13">
        <f>"NDJIKI AMBATTA"</f>
        <v>506</v>
      </c>
      <c r="E145" t="s" s="13">
        <f>"Alphonse Brice"</f>
        <v>507</v>
      </c>
      <c r="F145" s="14">
        <v>33401</v>
      </c>
      <c r="G145" s="14">
        <v>45040</v>
      </c>
      <c r="H145" t="s" s="13">
        <f t="shared" si="14"/>
        <v>30</v>
      </c>
      <c r="I145" t="s" s="13">
        <v>31</v>
      </c>
      <c r="J145" t="s" s="13">
        <f t="shared" si="159"/>
        <v>82</v>
      </c>
      <c r="K145" t="s" s="13">
        <f t="shared" si="16"/>
        <v>33</v>
      </c>
      <c r="L145" t="s" s="15">
        <v>34</v>
      </c>
      <c r="M145" t="s" s="13">
        <v>31</v>
      </c>
      <c r="N145" t="s" s="13">
        <v>35</v>
      </c>
      <c r="O145" t="s" s="13">
        <v>83</v>
      </c>
      <c r="P145" s="16">
        <f>G145</f>
        <v>45040</v>
      </c>
      <c r="Q145" s="16">
        <f>P145+364</f>
        <v>45404</v>
      </c>
      <c r="R145" s="16">
        <f>Q145+1</f>
        <v>45405</v>
      </c>
      <c r="S145" s="16">
        <f>R145+29</f>
        <v>45434</v>
      </c>
      <c r="T145" s="17">
        <v>30</v>
      </c>
      <c r="U145" s="18">
        <v>0</v>
      </c>
      <c r="V145" s="18">
        <f>T145-U145</f>
        <v>30</v>
      </c>
      <c r="W145" s="16">
        <f>R145+V145</f>
        <v>45435</v>
      </c>
      <c r="X145" s="16">
        <f>S145+1</f>
        <v>45435</v>
      </c>
      <c r="Y145" s="16">
        <f>X145+365</f>
        <v>45800</v>
      </c>
      <c r="Z145" t="s" s="19">
        <v>37</v>
      </c>
      <c r="AA145" t="s" s="15">
        <v>44</v>
      </c>
      <c r="AB145" t="s" s="15">
        <v>45</v>
      </c>
      <c r="AC145" t="s" s="15">
        <v>40</v>
      </c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</row>
    <row r="146" ht="13.55" customHeight="1">
      <c r="A146" t="s" s="13">
        <f t="shared" si="2296" ref="A146:B146">"03063"</f>
        <v>508</v>
      </c>
      <c r="B146" t="s" s="13">
        <f t="shared" si="2296"/>
        <v>508</v>
      </c>
      <c r="C146" t="s" s="13">
        <f t="shared" si="11"/>
        <v>27</v>
      </c>
      <c r="D146" t="s" s="13">
        <f>"BOTOYO KWETE"</f>
        <v>509</v>
      </c>
      <c r="E146" t="s" s="13">
        <f>"Louis René"</f>
        <v>510</v>
      </c>
      <c r="F146" s="14">
        <v>32108</v>
      </c>
      <c r="G146" s="14">
        <v>45041</v>
      </c>
      <c r="H146" t="s" s="13">
        <f t="shared" si="14"/>
        <v>30</v>
      </c>
      <c r="I146" t="s" s="13">
        <v>31</v>
      </c>
      <c r="J146" t="s" s="13">
        <f t="shared" si="15"/>
        <v>32</v>
      </c>
      <c r="K146" t="s" s="13">
        <f t="shared" si="16"/>
        <v>33</v>
      </c>
      <c r="L146" t="s" s="15">
        <v>34</v>
      </c>
      <c r="M146" t="s" s="13">
        <v>31</v>
      </c>
      <c r="N146" t="s" s="13">
        <v>35</v>
      </c>
      <c r="O146" t="s" s="13">
        <v>83</v>
      </c>
      <c r="P146" s="16">
        <f>G146</f>
        <v>45041</v>
      </c>
      <c r="Q146" s="16">
        <f>P146+364</f>
        <v>45405</v>
      </c>
      <c r="R146" s="16">
        <f>Q146+1</f>
        <v>45406</v>
      </c>
      <c r="S146" s="16">
        <f>R146+29</f>
        <v>45435</v>
      </c>
      <c r="T146" s="17">
        <v>30</v>
      </c>
      <c r="U146" s="18">
        <v>0</v>
      </c>
      <c r="V146" s="18">
        <f>T146-U146</f>
        <v>30</v>
      </c>
      <c r="W146" s="16">
        <f>R146+V146</f>
        <v>45436</v>
      </c>
      <c r="X146" s="16">
        <f>S146+1</f>
        <v>45436</v>
      </c>
      <c r="Y146" s="16">
        <f>X146+365</f>
        <v>45801</v>
      </c>
      <c r="Z146" t="s" s="19">
        <v>37</v>
      </c>
      <c r="AA146" t="s" s="15">
        <v>44</v>
      </c>
      <c r="AB146" t="s" s="15">
        <v>45</v>
      </c>
      <c r="AC146" t="s" s="15">
        <v>40</v>
      </c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</row>
    <row r="147" ht="13.55" customHeight="1">
      <c r="A147" t="s" s="13">
        <f t="shared" si="2312" ref="A147:B147">"03064"</f>
        <v>511</v>
      </c>
      <c r="B147" t="s" s="13">
        <f t="shared" si="2312"/>
        <v>511</v>
      </c>
      <c r="C147" t="s" s="13">
        <f t="shared" si="11"/>
        <v>27</v>
      </c>
      <c r="D147" t="s" s="13">
        <f>"CHIMI"</f>
        <v>512</v>
      </c>
      <c r="E147" t="s" s="13">
        <f>"Hubert Rodrigue"</f>
        <v>513</v>
      </c>
      <c r="F147" s="14">
        <v>31387</v>
      </c>
      <c r="G147" s="14">
        <v>45035</v>
      </c>
      <c r="H147" t="s" s="13">
        <f t="shared" si="14"/>
        <v>30</v>
      </c>
      <c r="I147" t="s" s="13">
        <v>31</v>
      </c>
      <c r="J147" t="s" s="13">
        <f t="shared" si="159"/>
        <v>82</v>
      </c>
      <c r="K147" t="s" s="13">
        <f t="shared" si="16"/>
        <v>33</v>
      </c>
      <c r="L147" t="s" s="15">
        <v>34</v>
      </c>
      <c r="M147" t="s" s="13">
        <v>31</v>
      </c>
      <c r="N147" t="s" s="13">
        <v>35</v>
      </c>
      <c r="O147" t="s" s="13">
        <v>83</v>
      </c>
      <c r="P147" s="16">
        <f>G147</f>
        <v>45035</v>
      </c>
      <c r="Q147" s="16">
        <f>P147+364</f>
        <v>45399</v>
      </c>
      <c r="R147" s="16">
        <f>Q147+1</f>
        <v>45400</v>
      </c>
      <c r="S147" s="16">
        <f>R147+29</f>
        <v>45429</v>
      </c>
      <c r="T147" s="17">
        <v>30</v>
      </c>
      <c r="U147" s="18">
        <v>0</v>
      </c>
      <c r="V147" s="18">
        <f>T147-U147</f>
        <v>30</v>
      </c>
      <c r="W147" s="16">
        <f>R147+V147</f>
        <v>45430</v>
      </c>
      <c r="X147" s="16">
        <f>S147+1</f>
        <v>45430</v>
      </c>
      <c r="Y147" s="16">
        <f>X147+365</f>
        <v>45795</v>
      </c>
      <c r="Z147" t="s" s="19">
        <v>37</v>
      </c>
      <c r="AA147" t="s" s="15">
        <v>44</v>
      </c>
      <c r="AB147" t="s" s="15">
        <v>45</v>
      </c>
      <c r="AC147" t="s" s="15">
        <v>40</v>
      </c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</row>
    <row r="148" ht="13.55" customHeight="1">
      <c r="A148" t="s" s="13">
        <f t="shared" si="2328" ref="A148:B148">"03065"</f>
        <v>514</v>
      </c>
      <c r="B148" t="s" s="13">
        <f t="shared" si="2328"/>
        <v>514</v>
      </c>
      <c r="C148" t="s" s="13">
        <f t="shared" si="11"/>
        <v>27</v>
      </c>
      <c r="D148" t="s" s="13">
        <f>"MEBOMA NGUELE"</f>
        <v>515</v>
      </c>
      <c r="E148" t="s" s="13">
        <f>"Eloge"</f>
        <v>516</v>
      </c>
      <c r="F148" s="14">
        <v>35628</v>
      </c>
      <c r="G148" s="14">
        <v>45033</v>
      </c>
      <c r="H148" t="s" s="13">
        <f t="shared" si="14"/>
        <v>30</v>
      </c>
      <c r="I148" t="s" s="13">
        <v>74</v>
      </c>
      <c r="J148" t="s" s="13">
        <f t="shared" si="159"/>
        <v>82</v>
      </c>
      <c r="K148" t="s" s="13">
        <f t="shared" si="144"/>
        <v>76</v>
      </c>
      <c r="L148" t="s" s="15">
        <v>77</v>
      </c>
      <c r="M148" t="s" s="13">
        <v>74</v>
      </c>
      <c r="N148" t="s" s="13">
        <v>35</v>
      </c>
      <c r="O148" t="s" s="13">
        <v>83</v>
      </c>
      <c r="P148" s="16">
        <f>G148</f>
        <v>45033</v>
      </c>
      <c r="Q148" s="16">
        <f>P148+364</f>
        <v>45397</v>
      </c>
      <c r="R148" s="16">
        <f>Q148+1</f>
        <v>45398</v>
      </c>
      <c r="S148" s="16">
        <f>R148+29</f>
        <v>45427</v>
      </c>
      <c r="T148" s="17">
        <v>30</v>
      </c>
      <c r="U148" s="18">
        <v>0</v>
      </c>
      <c r="V148" s="18">
        <f>T148-U148</f>
        <v>30</v>
      </c>
      <c r="W148" s="16">
        <f>R148+V148</f>
        <v>45428</v>
      </c>
      <c r="X148" s="16">
        <f>S148+1</f>
        <v>45428</v>
      </c>
      <c r="Y148" s="16">
        <f>X148+365</f>
        <v>45793</v>
      </c>
      <c r="Z148" t="s" s="19">
        <v>37</v>
      </c>
      <c r="AA148" t="s" s="15">
        <v>44</v>
      </c>
      <c r="AB148" t="s" s="15">
        <v>45</v>
      </c>
      <c r="AC148" t="s" s="15">
        <v>78</v>
      </c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</row>
    <row r="149" ht="13.55" customHeight="1">
      <c r="A149" t="s" s="13">
        <f t="shared" si="2344" ref="A149:B149">"03066"</f>
        <v>517</v>
      </c>
      <c r="B149" t="s" s="13">
        <f t="shared" si="2344"/>
        <v>517</v>
      </c>
      <c r="C149" t="s" s="13">
        <f t="shared" si="11"/>
        <v>27</v>
      </c>
      <c r="D149" t="s" s="13">
        <f>"NGOULE ENGAMBA"</f>
        <v>518</v>
      </c>
      <c r="E149" t="s" s="13">
        <f>"Georges Fernand"</f>
        <v>519</v>
      </c>
      <c r="F149" s="14">
        <v>35688</v>
      </c>
      <c r="G149" s="14">
        <v>45034</v>
      </c>
      <c r="H149" t="s" s="13">
        <f t="shared" si="14"/>
        <v>30</v>
      </c>
      <c r="I149" t="s" s="13">
        <v>31</v>
      </c>
      <c r="J149" t="s" s="13">
        <f t="shared" si="127"/>
        <v>69</v>
      </c>
      <c r="K149" t="s" s="13">
        <f t="shared" si="16"/>
        <v>33</v>
      </c>
      <c r="L149" t="s" s="15">
        <v>34</v>
      </c>
      <c r="M149" t="s" s="13">
        <v>31</v>
      </c>
      <c r="N149" t="s" s="13">
        <v>70</v>
      </c>
      <c r="O149" t="s" s="13">
        <v>36</v>
      </c>
      <c r="P149" s="16">
        <f>G149</f>
        <v>45034</v>
      </c>
      <c r="Q149" s="16">
        <f>P149+364</f>
        <v>45398</v>
      </c>
      <c r="R149" s="16">
        <f>Q149+1</f>
        <v>45399</v>
      </c>
      <c r="S149" s="16">
        <f>R149+29</f>
        <v>45428</v>
      </c>
      <c r="T149" s="17">
        <v>30</v>
      </c>
      <c r="U149" s="18">
        <v>0</v>
      </c>
      <c r="V149" s="18">
        <f>T149-U149</f>
        <v>30</v>
      </c>
      <c r="W149" s="16">
        <f>R149+V149</f>
        <v>45429</v>
      </c>
      <c r="X149" s="16">
        <f>S149+1</f>
        <v>45429</v>
      </c>
      <c r="Y149" s="16">
        <f>X149+365</f>
        <v>45794</v>
      </c>
      <c r="Z149" t="s" s="19">
        <v>37</v>
      </c>
      <c r="AA149" t="s" s="15">
        <v>44</v>
      </c>
      <c r="AB149" t="s" s="15">
        <v>45</v>
      </c>
      <c r="AC149" t="s" s="15">
        <v>40</v>
      </c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</row>
    <row r="150" ht="13.55" customHeight="1">
      <c r="A150" t="s" s="13">
        <f t="shared" si="2360" ref="A150:B150">"03067"</f>
        <v>520</v>
      </c>
      <c r="B150" t="s" s="13">
        <f t="shared" si="2360"/>
        <v>520</v>
      </c>
      <c r="C150" t="s" s="13">
        <f t="shared" si="11"/>
        <v>27</v>
      </c>
      <c r="D150" t="s" s="13">
        <f>"ASSIGA"</f>
        <v>521</v>
      </c>
      <c r="E150" t="s" s="13">
        <f>"Simon Guy Arsène"</f>
        <v>522</v>
      </c>
      <c r="F150" s="14">
        <v>31435</v>
      </c>
      <c r="G150" s="14">
        <v>45030</v>
      </c>
      <c r="H150" t="s" s="13">
        <f t="shared" si="14"/>
        <v>30</v>
      </c>
      <c r="I150" t="s" s="13">
        <v>31</v>
      </c>
      <c r="J150" t="s" s="13">
        <f t="shared" si="127"/>
        <v>69</v>
      </c>
      <c r="K150" t="s" s="13">
        <f t="shared" si="16"/>
        <v>33</v>
      </c>
      <c r="L150" t="s" s="15">
        <v>34</v>
      </c>
      <c r="M150" t="s" s="13">
        <v>31</v>
      </c>
      <c r="N150" t="s" s="13">
        <v>70</v>
      </c>
      <c r="O150" t="s" s="13">
        <v>36</v>
      </c>
      <c r="P150" s="16">
        <f>G150</f>
        <v>45030</v>
      </c>
      <c r="Q150" s="16">
        <f>P150+364</f>
        <v>45394</v>
      </c>
      <c r="R150" s="16">
        <f>Q150+1</f>
        <v>45395</v>
      </c>
      <c r="S150" s="16">
        <f>R150+29</f>
        <v>45424</v>
      </c>
      <c r="T150" s="17">
        <v>30</v>
      </c>
      <c r="U150" s="18">
        <v>0</v>
      </c>
      <c r="V150" s="18">
        <f>T150-U150</f>
        <v>30</v>
      </c>
      <c r="W150" s="16">
        <f>R150+V150</f>
        <v>45425</v>
      </c>
      <c r="X150" s="16">
        <f>S150+1</f>
        <v>45425</v>
      </c>
      <c r="Y150" s="16">
        <f>X150+365</f>
        <v>45790</v>
      </c>
      <c r="Z150" t="s" s="19">
        <v>37</v>
      </c>
      <c r="AA150" t="s" s="15">
        <v>44</v>
      </c>
      <c r="AB150" t="s" s="15">
        <v>45</v>
      </c>
      <c r="AC150" t="s" s="15">
        <v>40</v>
      </c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</row>
    <row r="151" ht="13.55" customHeight="1">
      <c r="A151" t="s" s="13">
        <f t="shared" si="2376" ref="A151:B151">"03068"</f>
        <v>523</v>
      </c>
      <c r="B151" t="s" s="13">
        <f t="shared" si="2376"/>
        <v>523</v>
      </c>
      <c r="C151" t="s" s="13">
        <f t="shared" si="920"/>
        <v>250</v>
      </c>
      <c r="D151" t="s" s="13">
        <f>"YAYA IBRAHIMA née BALKISSOU SADOU"</f>
        <v>524</v>
      </c>
      <c r="E151" t="s" s="13">
        <f t="shared" si="61"/>
      </c>
      <c r="F151" s="14">
        <v>33468</v>
      </c>
      <c r="G151" s="14">
        <v>45029</v>
      </c>
      <c r="H151" t="s" s="13">
        <v>93</v>
      </c>
      <c r="I151" t="s" s="13">
        <v>31</v>
      </c>
      <c r="J151" t="s" s="13">
        <f t="shared" si="2381" ref="J151:J156">"Comptable"</f>
        <v>525</v>
      </c>
      <c r="K151" t="s" s="13">
        <f t="shared" si="16"/>
        <v>33</v>
      </c>
      <c r="L151" t="s" s="15">
        <v>34</v>
      </c>
      <c r="M151" t="s" s="13">
        <v>31</v>
      </c>
      <c r="N151" t="s" s="13">
        <v>70</v>
      </c>
      <c r="O151" t="s" s="13">
        <v>36</v>
      </c>
      <c r="P151" s="16">
        <f>G151</f>
        <v>45029</v>
      </c>
      <c r="Q151" s="16">
        <f>P151+364</f>
        <v>45393</v>
      </c>
      <c r="R151" s="16">
        <f>Q151+1</f>
        <v>45394</v>
      </c>
      <c r="S151" s="16">
        <f>R151+29</f>
        <v>45423</v>
      </c>
      <c r="T151" s="17">
        <v>30</v>
      </c>
      <c r="U151" s="18">
        <v>0</v>
      </c>
      <c r="V151" s="18">
        <f>T151-U151</f>
        <v>30</v>
      </c>
      <c r="W151" s="16">
        <f>R151+V151</f>
        <v>45424</v>
      </c>
      <c r="X151" s="16">
        <f>S151+1</f>
        <v>45424</v>
      </c>
      <c r="Y151" s="16">
        <f>X151+365</f>
        <v>45789</v>
      </c>
      <c r="Z151" t="s" s="19">
        <v>37</v>
      </c>
      <c r="AA151" t="s" s="15">
        <v>38</v>
      </c>
      <c r="AB151" t="s" s="15">
        <v>39</v>
      </c>
      <c r="AC151" t="s" s="15">
        <v>40</v>
      </c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</row>
    <row r="152" ht="13.55" customHeight="1">
      <c r="A152" t="s" s="13">
        <f t="shared" si="2391" ref="A152:B152">"03069"</f>
        <v>526</v>
      </c>
      <c r="B152" t="s" s="13">
        <f t="shared" si="2391"/>
        <v>526</v>
      </c>
      <c r="C152" t="s" s="13">
        <f t="shared" si="107"/>
        <v>63</v>
      </c>
      <c r="D152" t="s" s="13">
        <f>"NKYE"</f>
        <v>527</v>
      </c>
      <c r="E152" t="s" s="13">
        <f>"Sandrine Katleen Mar"</f>
        <v>528</v>
      </c>
      <c r="F152" s="14">
        <v>35212</v>
      </c>
      <c r="G152" s="14">
        <v>45041</v>
      </c>
      <c r="H152" t="s" s="13">
        <f t="shared" si="14"/>
        <v>30</v>
      </c>
      <c r="I152" t="s" s="13">
        <v>74</v>
      </c>
      <c r="J152" t="s" s="13">
        <f t="shared" si="159"/>
        <v>82</v>
      </c>
      <c r="K152" t="s" s="13">
        <f t="shared" si="144"/>
        <v>76</v>
      </c>
      <c r="L152" t="s" s="15">
        <v>77</v>
      </c>
      <c r="M152" t="s" s="13">
        <v>74</v>
      </c>
      <c r="N152" t="s" s="13">
        <v>35</v>
      </c>
      <c r="O152" t="s" s="13">
        <v>83</v>
      </c>
      <c r="P152" s="16">
        <f>G152</f>
        <v>45041</v>
      </c>
      <c r="Q152" s="16">
        <f>P152+364</f>
        <v>45405</v>
      </c>
      <c r="R152" s="16">
        <f>Q152+1</f>
        <v>45406</v>
      </c>
      <c r="S152" s="16">
        <f>R152+29</f>
        <v>45435</v>
      </c>
      <c r="T152" s="17">
        <v>30</v>
      </c>
      <c r="U152" s="18">
        <v>0</v>
      </c>
      <c r="V152" s="18">
        <f>T152-U152</f>
        <v>30</v>
      </c>
      <c r="W152" s="16">
        <f>R152+V152</f>
        <v>45436</v>
      </c>
      <c r="X152" s="16">
        <f>S152+1</f>
        <v>45436</v>
      </c>
      <c r="Y152" s="16">
        <f>X152+365</f>
        <v>45801</v>
      </c>
      <c r="Z152" t="s" s="19">
        <v>37</v>
      </c>
      <c r="AA152" t="s" s="15">
        <v>44</v>
      </c>
      <c r="AB152" t="s" s="15">
        <v>45</v>
      </c>
      <c r="AC152" t="s" s="15">
        <v>78</v>
      </c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</row>
    <row r="153" ht="13.55" customHeight="1">
      <c r="A153" t="s" s="13">
        <f t="shared" si="2407" ref="A153:B153">"03070"</f>
        <v>529</v>
      </c>
      <c r="B153" t="s" s="13">
        <f t="shared" si="2407"/>
        <v>529</v>
      </c>
      <c r="C153" t="s" s="13">
        <f t="shared" si="11"/>
        <v>27</v>
      </c>
      <c r="D153" t="s" s="13">
        <f>"NKANA OWONA"</f>
        <v>530</v>
      </c>
      <c r="E153" t="s" s="13">
        <f>"Rodrigue Michel"</f>
        <v>531</v>
      </c>
      <c r="F153" s="14">
        <v>32647</v>
      </c>
      <c r="G153" s="14">
        <v>45048</v>
      </c>
      <c r="H153" t="s" s="13">
        <f t="shared" si="14"/>
        <v>30</v>
      </c>
      <c r="I153" t="s" s="13">
        <v>74</v>
      </c>
      <c r="J153" t="s" s="13">
        <f t="shared" si="15"/>
        <v>32</v>
      </c>
      <c r="K153" t="s" s="13">
        <f t="shared" si="144"/>
        <v>76</v>
      </c>
      <c r="L153" t="s" s="15">
        <v>77</v>
      </c>
      <c r="M153" t="s" s="13">
        <v>74</v>
      </c>
      <c r="N153" t="s" s="13">
        <v>35</v>
      </c>
      <c r="O153" t="s" s="13">
        <v>83</v>
      </c>
      <c r="P153" s="16">
        <f>G153</f>
        <v>45048</v>
      </c>
      <c r="Q153" s="16">
        <f>P153+364</f>
        <v>45412</v>
      </c>
      <c r="R153" s="16">
        <f>Q153+1</f>
        <v>45413</v>
      </c>
      <c r="S153" s="16">
        <f>R153+29</f>
        <v>45442</v>
      </c>
      <c r="T153" s="17">
        <v>30</v>
      </c>
      <c r="U153" s="18">
        <v>0</v>
      </c>
      <c r="V153" s="18">
        <f>T153-U153</f>
        <v>30</v>
      </c>
      <c r="W153" s="16">
        <f>R153+V153</f>
        <v>45443</v>
      </c>
      <c r="X153" s="16">
        <f>S153+1</f>
        <v>45443</v>
      </c>
      <c r="Y153" s="16">
        <f>X153+365</f>
        <v>45808</v>
      </c>
      <c r="Z153" t="s" s="19">
        <v>37</v>
      </c>
      <c r="AA153" t="s" s="15">
        <v>38</v>
      </c>
      <c r="AB153" t="s" s="15">
        <v>39</v>
      </c>
      <c r="AC153" t="s" s="15">
        <v>78</v>
      </c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</row>
    <row r="154" ht="13.55" customHeight="1">
      <c r="A154" t="s" s="13">
        <f t="shared" si="2423" ref="A154:B154">"03071"</f>
        <v>532</v>
      </c>
      <c r="B154" t="s" s="13">
        <f t="shared" si="2423"/>
        <v>532</v>
      </c>
      <c r="C154" t="s" s="13">
        <f t="shared" si="920"/>
        <v>250</v>
      </c>
      <c r="D154" t="s" s="13">
        <f>"ELINGUI MEKWEING"</f>
        <v>533</v>
      </c>
      <c r="E154" t="s" s="13">
        <f>"Paule Danielle"</f>
        <v>534</v>
      </c>
      <c r="F154" s="14">
        <v>34541</v>
      </c>
      <c r="G154" s="14">
        <v>45054</v>
      </c>
      <c r="H154" t="s" s="13">
        <v>93</v>
      </c>
      <c r="I154" t="s" s="13">
        <v>74</v>
      </c>
      <c r="J154" t="s" s="13">
        <f t="shared" si="143"/>
        <v>75</v>
      </c>
      <c r="K154" t="s" s="13">
        <f t="shared" si="144"/>
        <v>76</v>
      </c>
      <c r="L154" t="s" s="15">
        <v>77</v>
      </c>
      <c r="M154" t="s" s="13">
        <v>74</v>
      </c>
      <c r="N154" t="s" s="13">
        <v>70</v>
      </c>
      <c r="O154" t="s" s="13">
        <v>36</v>
      </c>
      <c r="P154" s="16">
        <f>G154</f>
        <v>45054</v>
      </c>
      <c r="Q154" s="16">
        <f>P154+364</f>
        <v>45418</v>
      </c>
      <c r="R154" s="16">
        <f>Q154+1</f>
        <v>45419</v>
      </c>
      <c r="S154" s="16">
        <f>R154+29</f>
        <v>45448</v>
      </c>
      <c r="T154" s="17">
        <v>30</v>
      </c>
      <c r="U154" s="18">
        <v>0</v>
      </c>
      <c r="V154" s="18">
        <f>T154-U154</f>
        <v>30</v>
      </c>
      <c r="W154" s="16">
        <f>R154+V154</f>
        <v>45449</v>
      </c>
      <c r="X154" s="16">
        <f>S154+1</f>
        <v>45449</v>
      </c>
      <c r="Y154" s="16">
        <f>X154+365</f>
        <v>45814</v>
      </c>
      <c r="Z154" t="s" s="19">
        <v>37</v>
      </c>
      <c r="AA154" t="s" s="15">
        <v>44</v>
      </c>
      <c r="AB154" t="s" s="15">
        <v>45</v>
      </c>
      <c r="AC154" t="s" s="15">
        <v>78</v>
      </c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</row>
    <row r="155" ht="13.55" customHeight="1">
      <c r="A155" t="s" s="13">
        <f t="shared" si="2438" ref="A155:B155">"03072"</f>
        <v>535</v>
      </c>
      <c r="B155" t="s" s="13">
        <f t="shared" si="2438"/>
        <v>535</v>
      </c>
      <c r="C155" t="s" s="13">
        <f t="shared" si="11"/>
        <v>27</v>
      </c>
      <c r="D155" t="s" s="13">
        <f>"MESSOM MESSOM"</f>
        <v>536</v>
      </c>
      <c r="E155" t="s" s="13">
        <f>"Jesse"</f>
        <v>537</v>
      </c>
      <c r="F155" s="14">
        <v>37419</v>
      </c>
      <c r="G155" s="14">
        <v>45061</v>
      </c>
      <c r="H155" t="s" s="13">
        <f t="shared" si="14"/>
        <v>30</v>
      </c>
      <c r="I155" t="s" s="13">
        <v>74</v>
      </c>
      <c r="J155" t="s" s="13">
        <f t="shared" si="159"/>
        <v>82</v>
      </c>
      <c r="K155" t="s" s="13">
        <f t="shared" si="144"/>
        <v>76</v>
      </c>
      <c r="L155" t="s" s="15">
        <v>77</v>
      </c>
      <c r="M155" t="s" s="13">
        <v>74</v>
      </c>
      <c r="N155" t="s" s="13">
        <v>35</v>
      </c>
      <c r="O155" t="s" s="13">
        <v>83</v>
      </c>
      <c r="P155" s="16">
        <f>G155</f>
        <v>45061</v>
      </c>
      <c r="Q155" s="16">
        <f>P155+364</f>
        <v>45425</v>
      </c>
      <c r="R155" s="16">
        <f>Q155+1</f>
        <v>45426</v>
      </c>
      <c r="S155" s="16">
        <f>R155+29</f>
        <v>45455</v>
      </c>
      <c r="T155" s="17">
        <v>30</v>
      </c>
      <c r="U155" s="18">
        <v>0</v>
      </c>
      <c r="V155" s="18">
        <f>T155-U155</f>
        <v>30</v>
      </c>
      <c r="W155" s="16">
        <f>R155+V155</f>
        <v>45456</v>
      </c>
      <c r="X155" s="16">
        <f>S155+1</f>
        <v>45456</v>
      </c>
      <c r="Y155" s="16">
        <f>X155+365</f>
        <v>45821</v>
      </c>
      <c r="Z155" t="s" s="19">
        <v>37</v>
      </c>
      <c r="AA155" t="s" s="15">
        <v>38</v>
      </c>
      <c r="AB155" t="s" s="15">
        <v>39</v>
      </c>
      <c r="AC155" t="s" s="15">
        <v>78</v>
      </c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</row>
    <row r="156" ht="13.55" customHeight="1">
      <c r="A156" t="s" s="13">
        <f t="shared" si="2454" ref="A156:B156">"03073"</f>
        <v>538</v>
      </c>
      <c r="B156" t="s" s="13">
        <f t="shared" si="2454"/>
        <v>538</v>
      </c>
      <c r="C156" t="s" s="13">
        <f t="shared" si="11"/>
        <v>27</v>
      </c>
      <c r="D156" t="s" s="13">
        <f>"NGA ATANGANA"</f>
        <v>539</v>
      </c>
      <c r="E156" t="s" s="13">
        <f>"Achille"</f>
        <v>540</v>
      </c>
      <c r="F156" s="14">
        <v>32496</v>
      </c>
      <c r="G156" s="14">
        <v>45084</v>
      </c>
      <c r="H156" t="s" s="13">
        <v>93</v>
      </c>
      <c r="I156" t="s" s="13">
        <v>74</v>
      </c>
      <c r="J156" t="s" s="13">
        <f t="shared" si="2381"/>
        <v>525</v>
      </c>
      <c r="K156" t="s" s="13">
        <f t="shared" si="1084"/>
        <v>288</v>
      </c>
      <c r="L156" s="23"/>
      <c r="M156" t="s" s="13">
        <v>74</v>
      </c>
      <c r="N156" t="s" s="13">
        <v>70</v>
      </c>
      <c r="O156" t="s" s="13">
        <v>36</v>
      </c>
      <c r="P156" s="16">
        <f>G156</f>
        <v>45084</v>
      </c>
      <c r="Q156" s="16">
        <f>P156+364</f>
        <v>45448</v>
      </c>
      <c r="R156" s="16">
        <f>Q156+1</f>
        <v>45449</v>
      </c>
      <c r="S156" s="16">
        <f>R156+29</f>
        <v>45478</v>
      </c>
      <c r="T156" s="17">
        <v>30</v>
      </c>
      <c r="U156" s="18">
        <v>0</v>
      </c>
      <c r="V156" s="18">
        <f>T156-U156</f>
        <v>30</v>
      </c>
      <c r="W156" s="16">
        <f>R156+V156</f>
        <v>45479</v>
      </c>
      <c r="X156" s="16">
        <f>S156+1</f>
        <v>45479</v>
      </c>
      <c r="Y156" s="16">
        <f>X156+365</f>
        <v>45844</v>
      </c>
      <c r="Z156" t="s" s="19">
        <v>37</v>
      </c>
      <c r="AA156" t="s" s="15">
        <v>44</v>
      </c>
      <c r="AB156" t="s" s="15">
        <v>45</v>
      </c>
      <c r="AC156" s="23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</row>
    <row r="157" ht="13.55" customHeight="1">
      <c r="A157" t="s" s="13">
        <f t="shared" si="2469" ref="A157:B157">"03074"</f>
        <v>541</v>
      </c>
      <c r="B157" t="s" s="13">
        <f t="shared" si="2469"/>
        <v>541</v>
      </c>
      <c r="C157" t="s" s="13">
        <f t="shared" si="11"/>
        <v>27</v>
      </c>
      <c r="D157" t="s" s="13">
        <f>"MVOGO ENYEGUE"</f>
        <v>542</v>
      </c>
      <c r="E157" t="s" s="13">
        <f>"Justin Legrand"</f>
        <v>543</v>
      </c>
      <c r="F157" s="14">
        <v>35995</v>
      </c>
      <c r="G157" s="14">
        <v>45082</v>
      </c>
      <c r="H157" t="s" s="13">
        <f t="shared" si="14"/>
        <v>30</v>
      </c>
      <c r="I157" t="s" s="13">
        <v>74</v>
      </c>
      <c r="J157" t="s" s="13">
        <f t="shared" si="2475" ref="J157:J179">"Agent Sécurité Incendie"</f>
        <v>544</v>
      </c>
      <c r="K157" t="s" s="13">
        <f t="shared" si="144"/>
        <v>76</v>
      </c>
      <c r="L157" t="s" s="15">
        <v>77</v>
      </c>
      <c r="M157" t="s" s="13">
        <v>74</v>
      </c>
      <c r="N157" t="s" s="13">
        <v>70</v>
      </c>
      <c r="O157" t="s" s="13">
        <v>36</v>
      </c>
      <c r="P157" s="16">
        <f>G157</f>
        <v>45082</v>
      </c>
      <c r="Q157" s="16">
        <f>P157+364</f>
        <v>45446</v>
      </c>
      <c r="R157" s="16">
        <f>Q157+1</f>
        <v>45447</v>
      </c>
      <c r="S157" s="16">
        <f>R157+29</f>
        <v>45476</v>
      </c>
      <c r="T157" s="17">
        <v>30</v>
      </c>
      <c r="U157" s="18">
        <v>0</v>
      </c>
      <c r="V157" s="18">
        <f>T157-U157</f>
        <v>30</v>
      </c>
      <c r="W157" s="16">
        <f>R157+V157</f>
        <v>45477</v>
      </c>
      <c r="X157" s="16">
        <f>S157+1</f>
        <v>45477</v>
      </c>
      <c r="Y157" s="16">
        <f>X157+365</f>
        <v>45842</v>
      </c>
      <c r="Z157" t="s" s="19">
        <v>37</v>
      </c>
      <c r="AA157" t="s" s="15">
        <v>44</v>
      </c>
      <c r="AB157" t="s" s="15">
        <v>45</v>
      </c>
      <c r="AC157" t="s" s="15">
        <v>78</v>
      </c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</row>
    <row r="158" ht="13.55" customHeight="1">
      <c r="A158" t="s" s="13">
        <f t="shared" si="2485" ref="A158:B158">"03075"</f>
        <v>545</v>
      </c>
      <c r="B158" t="s" s="13">
        <f t="shared" si="2485"/>
        <v>545</v>
      </c>
      <c r="C158" t="s" s="13">
        <f t="shared" si="11"/>
        <v>27</v>
      </c>
      <c r="D158" t="s" s="13">
        <f>"DJATA ONDOUA"</f>
        <v>546</v>
      </c>
      <c r="E158" t="s" s="13">
        <f>"Bonachy"</f>
        <v>547</v>
      </c>
      <c r="F158" s="14">
        <v>37571</v>
      </c>
      <c r="G158" s="14">
        <v>45082</v>
      </c>
      <c r="H158" t="s" s="13">
        <f t="shared" si="14"/>
        <v>30</v>
      </c>
      <c r="I158" t="s" s="13">
        <v>74</v>
      </c>
      <c r="J158" t="s" s="13">
        <f t="shared" si="2475"/>
        <v>544</v>
      </c>
      <c r="K158" t="s" s="13">
        <f t="shared" si="144"/>
        <v>76</v>
      </c>
      <c r="L158" t="s" s="15">
        <v>77</v>
      </c>
      <c r="M158" t="s" s="13">
        <v>74</v>
      </c>
      <c r="N158" t="s" s="13">
        <v>70</v>
      </c>
      <c r="O158" t="s" s="13">
        <v>36</v>
      </c>
      <c r="P158" s="16">
        <f>G158</f>
        <v>45082</v>
      </c>
      <c r="Q158" s="16">
        <f>P158+364</f>
        <v>45446</v>
      </c>
      <c r="R158" s="16">
        <f>Q158+1</f>
        <v>45447</v>
      </c>
      <c r="S158" s="16">
        <f>R158+29</f>
        <v>45476</v>
      </c>
      <c r="T158" s="17">
        <v>30</v>
      </c>
      <c r="U158" s="18">
        <v>0</v>
      </c>
      <c r="V158" s="18">
        <f>T158-U158</f>
        <v>30</v>
      </c>
      <c r="W158" s="16">
        <f>R158+V158</f>
        <v>45477</v>
      </c>
      <c r="X158" s="16">
        <f>S158+1</f>
        <v>45477</v>
      </c>
      <c r="Y158" s="16">
        <f>X158+365</f>
        <v>45842</v>
      </c>
      <c r="Z158" t="s" s="19">
        <v>37</v>
      </c>
      <c r="AA158" t="s" s="15">
        <v>44</v>
      </c>
      <c r="AB158" t="s" s="15">
        <v>45</v>
      </c>
      <c r="AC158" t="s" s="15">
        <v>78</v>
      </c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</row>
    <row r="159" ht="13.55" customHeight="1">
      <c r="A159" t="s" s="13">
        <f t="shared" si="2501" ref="A159:B159">"03076"</f>
        <v>548</v>
      </c>
      <c r="B159" t="s" s="13">
        <f t="shared" si="2501"/>
        <v>548</v>
      </c>
      <c r="C159" t="s" s="13">
        <f t="shared" si="11"/>
        <v>27</v>
      </c>
      <c r="D159" t="s" s="13">
        <f>"BANA"</f>
        <v>549</v>
      </c>
      <c r="E159" t="s" s="13">
        <f>"Jean Brice"</f>
        <v>550</v>
      </c>
      <c r="F159" s="14">
        <v>35543</v>
      </c>
      <c r="G159" s="14">
        <v>45062</v>
      </c>
      <c r="H159" t="s" s="13">
        <f t="shared" si="14"/>
        <v>30</v>
      </c>
      <c r="I159" t="s" s="13">
        <v>31</v>
      </c>
      <c r="J159" t="s" s="13">
        <f t="shared" si="987"/>
        <v>267</v>
      </c>
      <c r="K159" t="s" s="13">
        <f t="shared" si="16"/>
        <v>33</v>
      </c>
      <c r="L159" t="s" s="15">
        <v>34</v>
      </c>
      <c r="M159" t="s" s="13">
        <v>31</v>
      </c>
      <c r="N159" t="s" s="13">
        <v>70</v>
      </c>
      <c r="O159" t="s" s="13">
        <v>36</v>
      </c>
      <c r="P159" s="16">
        <f>G159</f>
        <v>45062</v>
      </c>
      <c r="Q159" s="16">
        <f>P159+364</f>
        <v>45426</v>
      </c>
      <c r="R159" s="16">
        <f>Q159+1</f>
        <v>45427</v>
      </c>
      <c r="S159" s="16">
        <f>R159+29</f>
        <v>45456</v>
      </c>
      <c r="T159" s="17">
        <v>30</v>
      </c>
      <c r="U159" s="18">
        <v>0</v>
      </c>
      <c r="V159" s="18">
        <f>T159-U159</f>
        <v>30</v>
      </c>
      <c r="W159" s="16">
        <f>R159+V159</f>
        <v>45457</v>
      </c>
      <c r="X159" s="16">
        <f>S159+1</f>
        <v>45457</v>
      </c>
      <c r="Y159" s="16">
        <f>X159+365</f>
        <v>45822</v>
      </c>
      <c r="Z159" s="21"/>
      <c r="AA159" t="s" s="15">
        <v>44</v>
      </c>
      <c r="AB159" t="s" s="15">
        <v>45</v>
      </c>
      <c r="AC159" t="s" s="15">
        <v>40</v>
      </c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</row>
    <row r="160" ht="13.55" customHeight="1">
      <c r="A160" t="s" s="13">
        <f t="shared" si="2517" ref="A160:B160">"03077"</f>
        <v>551</v>
      </c>
      <c r="B160" t="s" s="13">
        <f t="shared" si="2517"/>
        <v>551</v>
      </c>
      <c r="C160" t="s" s="13">
        <f t="shared" si="11"/>
        <v>27</v>
      </c>
      <c r="D160" t="s" s="13">
        <f>"ESSOMBA OMGBA"</f>
        <v>552</v>
      </c>
      <c r="E160" t="s" s="13">
        <f>"Innocent Arsène"</f>
        <v>553</v>
      </c>
      <c r="F160" s="14">
        <v>34093</v>
      </c>
      <c r="G160" s="14">
        <v>45099</v>
      </c>
      <c r="H160" t="s" s="13">
        <f t="shared" si="14"/>
        <v>30</v>
      </c>
      <c r="I160" t="s" s="13">
        <v>31</v>
      </c>
      <c r="J160" t="s" s="13">
        <f t="shared" si="1954"/>
        <v>447</v>
      </c>
      <c r="K160" t="s" s="13">
        <f t="shared" si="16"/>
        <v>33</v>
      </c>
      <c r="L160" t="s" s="15">
        <v>34</v>
      </c>
      <c r="M160" t="s" s="13">
        <v>31</v>
      </c>
      <c r="N160" t="s" s="13">
        <v>70</v>
      </c>
      <c r="O160" t="s" s="13">
        <v>36</v>
      </c>
      <c r="P160" s="16">
        <f>G160</f>
        <v>45099</v>
      </c>
      <c r="Q160" s="16">
        <f>P160+364</f>
        <v>45463</v>
      </c>
      <c r="R160" s="16">
        <f>Q160+1</f>
        <v>45464</v>
      </c>
      <c r="S160" s="16">
        <f>R160+29</f>
        <v>45493</v>
      </c>
      <c r="T160" s="17">
        <v>30</v>
      </c>
      <c r="U160" s="18">
        <v>0</v>
      </c>
      <c r="V160" s="18">
        <f>T160-U160</f>
        <v>30</v>
      </c>
      <c r="W160" s="16">
        <f>R160+V160</f>
        <v>45494</v>
      </c>
      <c r="X160" s="16">
        <f>S160+1</f>
        <v>45494</v>
      </c>
      <c r="Y160" s="16">
        <f>X160+365</f>
        <v>45859</v>
      </c>
      <c r="Z160" s="22"/>
      <c r="AA160" t="s" s="15">
        <v>44</v>
      </c>
      <c r="AB160" t="s" s="15">
        <v>45</v>
      </c>
      <c r="AC160" t="s" s="15">
        <v>40</v>
      </c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</row>
    <row r="161" ht="13.55" customHeight="1">
      <c r="A161" t="s" s="13">
        <f t="shared" si="2533" ref="A161:B161">"03078"</f>
        <v>554</v>
      </c>
      <c r="B161" t="s" s="13">
        <f t="shared" si="2533"/>
        <v>554</v>
      </c>
      <c r="C161" t="s" s="13">
        <f t="shared" si="11"/>
        <v>27</v>
      </c>
      <c r="D161" t="s" s="13">
        <f>"TCHATCHOU SEUMO"</f>
        <v>555</v>
      </c>
      <c r="E161" t="s" s="13">
        <f>"Jérémie"</f>
        <v>556</v>
      </c>
      <c r="F161" s="14">
        <v>34730</v>
      </c>
      <c r="G161" s="14">
        <v>45097</v>
      </c>
      <c r="H161" t="s" s="13">
        <f t="shared" si="14"/>
        <v>30</v>
      </c>
      <c r="I161" t="s" s="13">
        <v>31</v>
      </c>
      <c r="J161" t="s" s="13">
        <f t="shared" si="987"/>
        <v>267</v>
      </c>
      <c r="K161" t="s" s="13">
        <f t="shared" si="16"/>
        <v>33</v>
      </c>
      <c r="L161" t="s" s="15">
        <v>34</v>
      </c>
      <c r="M161" t="s" s="13">
        <v>31</v>
      </c>
      <c r="N161" t="s" s="13">
        <v>70</v>
      </c>
      <c r="O161" t="s" s="13">
        <v>36</v>
      </c>
      <c r="P161" s="16">
        <f>G161</f>
        <v>45097</v>
      </c>
      <c r="Q161" s="16">
        <f>P161+364</f>
        <v>45461</v>
      </c>
      <c r="R161" s="16">
        <f>Q161+1</f>
        <v>45462</v>
      </c>
      <c r="S161" s="16">
        <f>R161+29</f>
        <v>45491</v>
      </c>
      <c r="T161" s="17">
        <v>30</v>
      </c>
      <c r="U161" s="18">
        <v>0</v>
      </c>
      <c r="V161" s="18">
        <f>T161-U161</f>
        <v>30</v>
      </c>
      <c r="W161" s="16">
        <f>R161+V161</f>
        <v>45492</v>
      </c>
      <c r="X161" s="16">
        <f>S161+1</f>
        <v>45492</v>
      </c>
      <c r="Y161" s="16">
        <f>X161+365</f>
        <v>45857</v>
      </c>
      <c r="Z161" t="s" s="19">
        <v>37</v>
      </c>
      <c r="AA161" t="s" s="15">
        <v>44</v>
      </c>
      <c r="AB161" t="s" s="15">
        <v>45</v>
      </c>
      <c r="AC161" t="s" s="15">
        <v>40</v>
      </c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</row>
    <row r="162" ht="13.55" customHeight="1">
      <c r="A162" t="s" s="13">
        <f t="shared" si="2549" ref="A162:B162">"03079"</f>
        <v>557</v>
      </c>
      <c r="B162" t="s" s="13">
        <f t="shared" si="2549"/>
        <v>557</v>
      </c>
      <c r="C162" t="s" s="13">
        <f t="shared" si="11"/>
        <v>27</v>
      </c>
      <c r="D162" t="s" s="13">
        <f>"DJAFAROU SADIGOU OUSMANOU"</f>
        <v>558</v>
      </c>
      <c r="E162" t="s" s="13">
        <f t="shared" si="61"/>
      </c>
      <c r="F162" s="14">
        <v>34146</v>
      </c>
      <c r="G162" s="14">
        <v>45110</v>
      </c>
      <c r="H162" t="s" s="13">
        <f t="shared" si="14"/>
        <v>30</v>
      </c>
      <c r="I162" t="s" s="13">
        <v>31</v>
      </c>
      <c r="J162" t="s" s="13">
        <f t="shared" si="2475"/>
        <v>544</v>
      </c>
      <c r="K162" t="s" s="13">
        <f t="shared" si="16"/>
        <v>33</v>
      </c>
      <c r="L162" t="s" s="15">
        <v>34</v>
      </c>
      <c r="M162" t="s" s="13">
        <v>31</v>
      </c>
      <c r="N162" t="s" s="13">
        <v>70</v>
      </c>
      <c r="O162" t="s" s="13">
        <v>36</v>
      </c>
      <c r="P162" s="16">
        <f>G162</f>
        <v>45110</v>
      </c>
      <c r="Q162" s="16">
        <f>P162+364</f>
        <v>45474</v>
      </c>
      <c r="R162" s="16">
        <f>Q162+1</f>
        <v>45475</v>
      </c>
      <c r="S162" s="16">
        <f>R162+29</f>
        <v>45504</v>
      </c>
      <c r="T162" s="17">
        <v>30</v>
      </c>
      <c r="U162" s="18">
        <v>0</v>
      </c>
      <c r="V162" s="18">
        <f>T162-U162</f>
        <v>30</v>
      </c>
      <c r="W162" s="16">
        <f>R162+V162</f>
        <v>45505</v>
      </c>
      <c r="X162" s="16">
        <f>S162+1</f>
        <v>45505</v>
      </c>
      <c r="Y162" s="16">
        <f>X162+365</f>
        <v>45870</v>
      </c>
      <c r="Z162" t="s" s="19">
        <v>37</v>
      </c>
      <c r="AA162" t="s" s="15">
        <v>44</v>
      </c>
      <c r="AB162" t="s" s="15">
        <v>45</v>
      </c>
      <c r="AC162" t="s" s="15">
        <v>40</v>
      </c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</row>
    <row r="163" ht="13.55" customHeight="1">
      <c r="A163" t="s" s="13">
        <f t="shared" si="2565" ref="A163:B163">"03080"</f>
        <v>559</v>
      </c>
      <c r="B163" t="s" s="13">
        <f t="shared" si="2565"/>
        <v>559</v>
      </c>
      <c r="C163" t="s" s="13">
        <f t="shared" si="11"/>
        <v>27</v>
      </c>
      <c r="D163" t="s" s="13">
        <f>"AKPE NGONO"</f>
        <v>560</v>
      </c>
      <c r="E163" t="s" s="13">
        <f>"François Cyrille"</f>
        <v>561</v>
      </c>
      <c r="F163" s="14">
        <v>37948</v>
      </c>
      <c r="G163" s="14">
        <v>45100</v>
      </c>
      <c r="H163" t="s" s="13">
        <f t="shared" si="14"/>
        <v>30</v>
      </c>
      <c r="I163" t="s" s="13">
        <v>31</v>
      </c>
      <c r="J163" t="s" s="13">
        <f t="shared" si="987"/>
        <v>267</v>
      </c>
      <c r="K163" t="s" s="13">
        <f t="shared" si="16"/>
        <v>33</v>
      </c>
      <c r="L163" t="s" s="15">
        <v>34</v>
      </c>
      <c r="M163" t="s" s="13">
        <v>31</v>
      </c>
      <c r="N163" t="s" s="13">
        <v>70</v>
      </c>
      <c r="O163" t="s" s="13">
        <v>36</v>
      </c>
      <c r="P163" s="16">
        <f>G163</f>
        <v>45100</v>
      </c>
      <c r="Q163" s="16">
        <f>P163+364</f>
        <v>45464</v>
      </c>
      <c r="R163" s="16">
        <f>Q163+1</f>
        <v>45465</v>
      </c>
      <c r="S163" s="16">
        <f>R163+29</f>
        <v>45494</v>
      </c>
      <c r="T163" s="17">
        <v>30</v>
      </c>
      <c r="U163" s="18">
        <v>0</v>
      </c>
      <c r="V163" s="18">
        <f>T163-U163</f>
        <v>30</v>
      </c>
      <c r="W163" s="16">
        <f>R163+V163</f>
        <v>45495</v>
      </c>
      <c r="X163" s="16">
        <f>S163+1</f>
        <v>45495</v>
      </c>
      <c r="Y163" s="16">
        <f>X163+365</f>
        <v>45860</v>
      </c>
      <c r="Z163" s="22"/>
      <c r="AA163" t="s" s="15">
        <v>44</v>
      </c>
      <c r="AB163" t="s" s="15">
        <v>45</v>
      </c>
      <c r="AC163" t="s" s="15">
        <v>40</v>
      </c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</row>
    <row r="164" ht="13.55" customHeight="1">
      <c r="A164" t="s" s="13">
        <f t="shared" si="2581" ref="A164:B164">"03082"</f>
        <v>562</v>
      </c>
      <c r="B164" t="s" s="13">
        <f t="shared" si="2581"/>
        <v>562</v>
      </c>
      <c r="C164" t="s" s="13">
        <f t="shared" si="11"/>
        <v>27</v>
      </c>
      <c r="D164" t="s" s="13">
        <f>"MENGALA"</f>
        <v>563</v>
      </c>
      <c r="E164" t="s" s="13">
        <f>"François Xavier"</f>
        <v>564</v>
      </c>
      <c r="F164" s="14">
        <v>32236</v>
      </c>
      <c r="G164" s="14">
        <v>45098</v>
      </c>
      <c r="H164" t="s" s="13">
        <f t="shared" si="14"/>
        <v>30</v>
      </c>
      <c r="I164" t="s" s="13">
        <v>31</v>
      </c>
      <c r="J164" t="s" s="13">
        <f t="shared" si="987"/>
        <v>267</v>
      </c>
      <c r="K164" t="s" s="13">
        <f t="shared" si="16"/>
        <v>33</v>
      </c>
      <c r="L164" t="s" s="15">
        <v>34</v>
      </c>
      <c r="M164" t="s" s="13">
        <v>31</v>
      </c>
      <c r="N164" t="s" s="13">
        <v>70</v>
      </c>
      <c r="O164" t="s" s="13">
        <v>36</v>
      </c>
      <c r="P164" s="16">
        <f>G164</f>
        <v>45098</v>
      </c>
      <c r="Q164" s="16">
        <f>P164+364</f>
        <v>45462</v>
      </c>
      <c r="R164" s="16">
        <f>Q164+1</f>
        <v>45463</v>
      </c>
      <c r="S164" s="16">
        <f>R164+29</f>
        <v>45492</v>
      </c>
      <c r="T164" s="17">
        <v>30</v>
      </c>
      <c r="U164" s="18">
        <v>0</v>
      </c>
      <c r="V164" s="18">
        <f>T164-U164</f>
        <v>30</v>
      </c>
      <c r="W164" s="16">
        <f>R164+V164</f>
        <v>45493</v>
      </c>
      <c r="X164" s="16">
        <f>S164+1</f>
        <v>45493</v>
      </c>
      <c r="Y164" s="16">
        <f>X164+365</f>
        <v>45858</v>
      </c>
      <c r="Z164" t="s" s="19">
        <v>37</v>
      </c>
      <c r="AA164" t="s" s="15">
        <v>44</v>
      </c>
      <c r="AB164" t="s" s="15">
        <v>45</v>
      </c>
      <c r="AC164" t="s" s="15">
        <v>40</v>
      </c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</row>
    <row r="165" ht="13.55" customHeight="1">
      <c r="A165" t="s" s="13">
        <f t="shared" si="2597" ref="A165:B165">"03083"</f>
        <v>565</v>
      </c>
      <c r="B165" t="s" s="13">
        <f t="shared" si="2597"/>
        <v>565</v>
      </c>
      <c r="C165" t="s" s="13">
        <f t="shared" si="11"/>
        <v>27</v>
      </c>
      <c r="D165" t="s" s="13">
        <f>"NTONGO AKAK"</f>
        <v>566</v>
      </c>
      <c r="E165" t="s" s="13">
        <f>"Jean Marie Warel"</f>
        <v>567</v>
      </c>
      <c r="F165" s="14">
        <v>36595</v>
      </c>
      <c r="G165" s="14">
        <v>45096</v>
      </c>
      <c r="H165" t="s" s="13">
        <f t="shared" si="14"/>
        <v>30</v>
      </c>
      <c r="I165" t="s" s="13">
        <v>74</v>
      </c>
      <c r="J165" t="s" s="13">
        <f t="shared" si="15"/>
        <v>32</v>
      </c>
      <c r="K165" t="s" s="13">
        <f t="shared" si="144"/>
        <v>76</v>
      </c>
      <c r="L165" t="s" s="15">
        <v>77</v>
      </c>
      <c r="M165" t="s" s="13">
        <v>74</v>
      </c>
      <c r="N165" t="s" s="13">
        <v>35</v>
      </c>
      <c r="O165" t="s" s="13">
        <v>83</v>
      </c>
      <c r="P165" s="16">
        <f>G165</f>
        <v>45096</v>
      </c>
      <c r="Q165" s="16">
        <f>P165+364</f>
        <v>45460</v>
      </c>
      <c r="R165" s="16">
        <f>Q165+1</f>
        <v>45461</v>
      </c>
      <c r="S165" s="16">
        <f>R165+29</f>
        <v>45490</v>
      </c>
      <c r="T165" s="17">
        <v>30</v>
      </c>
      <c r="U165" s="18">
        <v>0</v>
      </c>
      <c r="V165" s="18">
        <f>T165-U165</f>
        <v>30</v>
      </c>
      <c r="W165" s="16">
        <f>R165+V165</f>
        <v>45491</v>
      </c>
      <c r="X165" s="16">
        <f>S165+1</f>
        <v>45491</v>
      </c>
      <c r="Y165" s="16">
        <f>X165+365</f>
        <v>45856</v>
      </c>
      <c r="Z165" t="s" s="19">
        <v>37</v>
      </c>
      <c r="AA165" t="s" s="15">
        <v>44</v>
      </c>
      <c r="AB165" t="s" s="15">
        <v>45</v>
      </c>
      <c r="AC165" t="s" s="15">
        <v>78</v>
      </c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</row>
    <row r="166" ht="13.55" customHeight="1">
      <c r="A166" t="s" s="13">
        <f t="shared" si="2613" ref="A166:B166">"03084"</f>
        <v>568</v>
      </c>
      <c r="B166" t="s" s="13">
        <f t="shared" si="2613"/>
        <v>568</v>
      </c>
      <c r="C166" t="s" s="13">
        <f t="shared" si="11"/>
        <v>27</v>
      </c>
      <c r="D166" t="s" s="13">
        <f>"LOHR NYOBE"</f>
        <v>569</v>
      </c>
      <c r="E166" t="s" s="13">
        <f>"Florent Darel"</f>
        <v>570</v>
      </c>
      <c r="F166" s="14">
        <v>34928</v>
      </c>
      <c r="G166" s="14">
        <v>45097</v>
      </c>
      <c r="H166" t="s" s="13">
        <f t="shared" si="14"/>
        <v>30</v>
      </c>
      <c r="I166" t="s" s="13">
        <v>74</v>
      </c>
      <c r="J166" t="s" s="13">
        <f t="shared" si="2475"/>
        <v>544</v>
      </c>
      <c r="K166" t="s" s="13">
        <f t="shared" si="144"/>
        <v>76</v>
      </c>
      <c r="L166" t="s" s="15">
        <v>77</v>
      </c>
      <c r="M166" t="s" s="13">
        <v>74</v>
      </c>
      <c r="N166" t="s" s="13">
        <v>70</v>
      </c>
      <c r="O166" t="s" s="13">
        <v>36</v>
      </c>
      <c r="P166" s="16">
        <f>G166</f>
        <v>45097</v>
      </c>
      <c r="Q166" s="16">
        <f>P166+364</f>
        <v>45461</v>
      </c>
      <c r="R166" s="16">
        <f>Q166+1</f>
        <v>45462</v>
      </c>
      <c r="S166" s="16">
        <f>R166+29</f>
        <v>45491</v>
      </c>
      <c r="T166" s="17">
        <v>30</v>
      </c>
      <c r="U166" s="18">
        <v>0</v>
      </c>
      <c r="V166" s="18">
        <f>T166-U166</f>
        <v>30</v>
      </c>
      <c r="W166" s="16">
        <f>R166+V166</f>
        <v>45492</v>
      </c>
      <c r="X166" s="16">
        <f>S166+1</f>
        <v>45492</v>
      </c>
      <c r="Y166" s="16">
        <f>X166+365</f>
        <v>45857</v>
      </c>
      <c r="Z166" t="s" s="19">
        <v>37</v>
      </c>
      <c r="AA166" t="s" s="15">
        <v>38</v>
      </c>
      <c r="AB166" t="s" s="15">
        <v>39</v>
      </c>
      <c r="AC166" t="s" s="15">
        <v>78</v>
      </c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</row>
    <row r="167" ht="13.55" customHeight="1">
      <c r="A167" t="s" s="13">
        <f t="shared" si="2629" ref="A167:B167">"03085"</f>
        <v>571</v>
      </c>
      <c r="B167" t="s" s="13">
        <f t="shared" si="2629"/>
        <v>571</v>
      </c>
      <c r="C167" t="s" s="13">
        <f t="shared" si="11"/>
        <v>27</v>
      </c>
      <c r="D167" t="s" s="13">
        <f>"TSOGO ONANA"</f>
        <v>572</v>
      </c>
      <c r="E167" t="s" s="13">
        <f>"Serges Bienvenu"</f>
        <v>573</v>
      </c>
      <c r="F167" s="14">
        <v>32620</v>
      </c>
      <c r="G167" s="14">
        <v>45097</v>
      </c>
      <c r="H167" t="s" s="13">
        <f t="shared" si="14"/>
        <v>30</v>
      </c>
      <c r="I167" t="s" s="13">
        <v>74</v>
      </c>
      <c r="J167" t="s" s="13">
        <f>"Magasinier Fret"</f>
        <v>574</v>
      </c>
      <c r="K167" t="s" s="13">
        <f t="shared" si="144"/>
        <v>76</v>
      </c>
      <c r="L167" t="s" s="15">
        <v>77</v>
      </c>
      <c r="M167" t="s" s="13">
        <v>74</v>
      </c>
      <c r="N167" t="s" s="13">
        <v>70</v>
      </c>
      <c r="O167" t="s" s="13">
        <v>36</v>
      </c>
      <c r="P167" s="16">
        <f>G167</f>
        <v>45097</v>
      </c>
      <c r="Q167" s="16">
        <f>P167+364</f>
        <v>45461</v>
      </c>
      <c r="R167" s="16">
        <f>Q167+1</f>
        <v>45462</v>
      </c>
      <c r="S167" s="16">
        <f>R167+29</f>
        <v>45491</v>
      </c>
      <c r="T167" s="17">
        <v>30</v>
      </c>
      <c r="U167" s="18">
        <v>0</v>
      </c>
      <c r="V167" s="18">
        <f>T167-U167</f>
        <v>30</v>
      </c>
      <c r="W167" s="16">
        <f>R167+V167</f>
        <v>45492</v>
      </c>
      <c r="X167" s="16">
        <f>S167+1</f>
        <v>45492</v>
      </c>
      <c r="Y167" s="16">
        <f>X167+365</f>
        <v>45857</v>
      </c>
      <c r="Z167" s="22"/>
      <c r="AA167" t="s" s="15">
        <v>44</v>
      </c>
      <c r="AB167" t="s" s="15">
        <v>45</v>
      </c>
      <c r="AC167" t="s" s="15">
        <v>78</v>
      </c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</row>
    <row r="168" ht="13.55" customHeight="1">
      <c r="A168" t="s" s="13">
        <f t="shared" si="2645" ref="A168:B168">"03086"</f>
        <v>575</v>
      </c>
      <c r="B168" t="s" s="13">
        <f t="shared" si="2645"/>
        <v>575</v>
      </c>
      <c r="C168" t="s" s="13">
        <f t="shared" si="11"/>
        <v>27</v>
      </c>
      <c r="D168" t="s" s="13">
        <f>"TCHATCHOUA"</f>
        <v>576</v>
      </c>
      <c r="E168" t="s" s="13">
        <f>"William Bernard"</f>
        <v>577</v>
      </c>
      <c r="F168" s="14">
        <v>31613</v>
      </c>
      <c r="G168" s="14">
        <v>45126</v>
      </c>
      <c r="H168" t="s" s="13">
        <f t="shared" si="14"/>
        <v>30</v>
      </c>
      <c r="I168" t="s" s="13">
        <v>74</v>
      </c>
      <c r="J168" t="s" s="13">
        <f>"Chauffeur Camion Hôtelier"</f>
        <v>578</v>
      </c>
      <c r="K168" t="s" s="13">
        <f t="shared" si="144"/>
        <v>76</v>
      </c>
      <c r="L168" t="s" s="15">
        <v>77</v>
      </c>
      <c r="M168" t="s" s="13">
        <v>74</v>
      </c>
      <c r="N168" t="s" s="13">
        <v>128</v>
      </c>
      <c r="O168" t="s" s="13">
        <v>36</v>
      </c>
      <c r="P168" s="16">
        <f>G168</f>
        <v>45126</v>
      </c>
      <c r="Q168" s="16">
        <f>P168+364</f>
        <v>45490</v>
      </c>
      <c r="R168" s="16">
        <f>Q168+1</f>
        <v>45491</v>
      </c>
      <c r="S168" s="16">
        <f>R168+29</f>
        <v>45520</v>
      </c>
      <c r="T168" s="17">
        <v>30</v>
      </c>
      <c r="U168" s="18">
        <v>0</v>
      </c>
      <c r="V168" s="18">
        <f>T168-U168</f>
        <v>30</v>
      </c>
      <c r="W168" s="16">
        <f>R168+V168</f>
        <v>45521</v>
      </c>
      <c r="X168" s="16">
        <f>S168+1</f>
        <v>45521</v>
      </c>
      <c r="Y168" s="16">
        <f>X168+365</f>
        <v>45886</v>
      </c>
      <c r="Z168" t="s" s="19">
        <v>37</v>
      </c>
      <c r="AA168" t="s" s="15">
        <v>44</v>
      </c>
      <c r="AB168" t="s" s="15">
        <v>45</v>
      </c>
      <c r="AC168" t="s" s="15">
        <v>78</v>
      </c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</row>
    <row r="169" ht="13.55" customHeight="1">
      <c r="A169" t="s" s="13">
        <f t="shared" si="2661" ref="A169:B169">"03087"</f>
        <v>579</v>
      </c>
      <c r="B169" t="s" s="13">
        <f t="shared" si="2661"/>
        <v>579</v>
      </c>
      <c r="C169" t="s" s="13">
        <f t="shared" si="11"/>
        <v>27</v>
      </c>
      <c r="D169" t="s" s="13">
        <f>"FANKAM"</f>
        <v>580</v>
      </c>
      <c r="E169" t="s" s="13">
        <f t="shared" si="985"/>
        <v>266</v>
      </c>
      <c r="F169" s="14">
        <v>34251</v>
      </c>
      <c r="G169" s="14">
        <v>45131</v>
      </c>
      <c r="H169" t="s" s="13">
        <f t="shared" si="14"/>
        <v>30</v>
      </c>
      <c r="I169" t="s" s="13">
        <v>31</v>
      </c>
      <c r="J169" t="s" s="13">
        <f>"Technicien de Maint. sp Froid"</f>
        <v>581</v>
      </c>
      <c r="K169" t="s" s="13">
        <f t="shared" si="16"/>
        <v>33</v>
      </c>
      <c r="L169" t="s" s="15">
        <v>34</v>
      </c>
      <c r="M169" t="s" s="13">
        <v>31</v>
      </c>
      <c r="N169" t="s" s="13">
        <v>582</v>
      </c>
      <c r="O169" t="s" s="13">
        <v>36</v>
      </c>
      <c r="P169" s="16">
        <f>G169</f>
        <v>45131</v>
      </c>
      <c r="Q169" s="16">
        <f>P169+364</f>
        <v>45495</v>
      </c>
      <c r="R169" s="16">
        <f>Q169+1</f>
        <v>45496</v>
      </c>
      <c r="S169" s="16">
        <f>R169+29</f>
        <v>45525</v>
      </c>
      <c r="T169" s="17">
        <v>30</v>
      </c>
      <c r="U169" s="18">
        <v>0</v>
      </c>
      <c r="V169" s="18">
        <f>T169-U169</f>
        <v>30</v>
      </c>
      <c r="W169" s="16">
        <f>R169+V169</f>
        <v>45526</v>
      </c>
      <c r="X169" s="16">
        <f>S169+1</f>
        <v>45526</v>
      </c>
      <c r="Y169" s="16">
        <f>X169+365</f>
        <v>45891</v>
      </c>
      <c r="Z169" t="s" s="19">
        <v>37</v>
      </c>
      <c r="AA169" t="s" s="15">
        <v>44</v>
      </c>
      <c r="AB169" t="s" s="15">
        <v>45</v>
      </c>
      <c r="AC169" t="s" s="15">
        <v>40</v>
      </c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</row>
    <row r="170" ht="13.55" customHeight="1">
      <c r="A170" t="s" s="13">
        <f t="shared" si="2677" ref="A170:B170">"03088"</f>
        <v>583</v>
      </c>
      <c r="B170" t="s" s="13">
        <f t="shared" si="2677"/>
        <v>583</v>
      </c>
      <c r="C170" t="s" s="13">
        <f t="shared" si="11"/>
        <v>27</v>
      </c>
      <c r="D170" t="s" s="13">
        <f>"ATCHEWA"</f>
        <v>584</v>
      </c>
      <c r="E170" t="s" s="13">
        <f>"Basile"</f>
        <v>585</v>
      </c>
      <c r="F170" s="14">
        <v>34110</v>
      </c>
      <c r="G170" s="14">
        <v>45139</v>
      </c>
      <c r="H170" t="s" s="13">
        <f t="shared" si="14"/>
        <v>30</v>
      </c>
      <c r="I170" t="s" s="13">
        <v>31</v>
      </c>
      <c r="J170" t="s" s="13">
        <f t="shared" si="159"/>
        <v>82</v>
      </c>
      <c r="K170" t="s" s="13">
        <f t="shared" si="16"/>
        <v>33</v>
      </c>
      <c r="L170" t="s" s="15">
        <v>34</v>
      </c>
      <c r="M170" t="s" s="13">
        <v>31</v>
      </c>
      <c r="N170" t="s" s="13">
        <v>35</v>
      </c>
      <c r="O170" t="s" s="13">
        <v>83</v>
      </c>
      <c r="P170" s="16">
        <f>G170</f>
        <v>45139</v>
      </c>
      <c r="Q170" s="16">
        <f>P170+364</f>
        <v>45503</v>
      </c>
      <c r="R170" s="16">
        <f>Q170+1</f>
        <v>45504</v>
      </c>
      <c r="S170" s="16">
        <f>R170+29</f>
        <v>45533</v>
      </c>
      <c r="T170" s="17">
        <v>30</v>
      </c>
      <c r="U170" s="18">
        <v>0</v>
      </c>
      <c r="V170" s="18">
        <f>T170-U170</f>
        <v>30</v>
      </c>
      <c r="W170" s="16">
        <f>R170+V170</f>
        <v>45534</v>
      </c>
      <c r="X170" s="16">
        <f>S170+1</f>
        <v>45534</v>
      </c>
      <c r="Y170" s="16">
        <f>X170+365</f>
        <v>45899</v>
      </c>
      <c r="Z170" t="s" s="19">
        <v>37</v>
      </c>
      <c r="AA170" t="s" s="15">
        <v>44</v>
      </c>
      <c r="AB170" t="s" s="15">
        <v>45</v>
      </c>
      <c r="AC170" t="s" s="15">
        <v>40</v>
      </c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</row>
    <row r="171" ht="13.55" customHeight="1">
      <c r="A171" t="s" s="13">
        <f t="shared" si="2693" ref="A171:B171">"03089"</f>
        <v>586</v>
      </c>
      <c r="B171" t="s" s="13">
        <f t="shared" si="2693"/>
        <v>586</v>
      </c>
      <c r="C171" t="s" s="13">
        <f t="shared" si="11"/>
        <v>27</v>
      </c>
      <c r="D171" t="s" s="13">
        <f>"MANGA EBONGUE"</f>
        <v>587</v>
      </c>
      <c r="E171" t="s" s="13">
        <f>"Théophile"</f>
        <v>588</v>
      </c>
      <c r="F171" s="14">
        <v>32204</v>
      </c>
      <c r="G171" s="14">
        <v>45133</v>
      </c>
      <c r="H171" t="s" s="13">
        <f t="shared" si="14"/>
        <v>30</v>
      </c>
      <c r="I171" t="s" s="13">
        <v>31</v>
      </c>
      <c r="J171" t="s" s="13">
        <f t="shared" si="159"/>
        <v>82</v>
      </c>
      <c r="K171" t="s" s="13">
        <f t="shared" si="16"/>
        <v>33</v>
      </c>
      <c r="L171" t="s" s="15">
        <v>34</v>
      </c>
      <c r="M171" t="s" s="13">
        <v>31</v>
      </c>
      <c r="N171" t="s" s="13">
        <v>35</v>
      </c>
      <c r="O171" t="s" s="13">
        <v>83</v>
      </c>
      <c r="P171" s="16">
        <f>G171</f>
        <v>45133</v>
      </c>
      <c r="Q171" s="16">
        <f>P171+364</f>
        <v>45497</v>
      </c>
      <c r="R171" s="16">
        <f>Q171+1</f>
        <v>45498</v>
      </c>
      <c r="S171" s="16">
        <f>R171+29</f>
        <v>45527</v>
      </c>
      <c r="T171" s="17">
        <v>30</v>
      </c>
      <c r="U171" s="18">
        <v>0</v>
      </c>
      <c r="V171" s="18">
        <f>T171-U171</f>
        <v>30</v>
      </c>
      <c r="W171" s="16">
        <f>R171+V171</f>
        <v>45528</v>
      </c>
      <c r="X171" s="16">
        <f>S171+1</f>
        <v>45528</v>
      </c>
      <c r="Y171" s="16">
        <f>X171+365</f>
        <v>45893</v>
      </c>
      <c r="Z171" t="s" s="19">
        <v>37</v>
      </c>
      <c r="AA171" t="s" s="15">
        <v>38</v>
      </c>
      <c r="AB171" t="s" s="15">
        <v>39</v>
      </c>
      <c r="AC171" t="s" s="15">
        <v>40</v>
      </c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</row>
    <row r="172" ht="13.55" customHeight="1">
      <c r="A172" t="s" s="13">
        <f t="shared" si="2709" ref="A172:B172">"03090"</f>
        <v>589</v>
      </c>
      <c r="B172" t="s" s="13">
        <f t="shared" si="2709"/>
        <v>589</v>
      </c>
      <c r="C172" t="s" s="13">
        <f t="shared" si="11"/>
        <v>27</v>
      </c>
      <c r="D172" t="s" s="13">
        <f>"NGOUTCHEU TCHAMABE"</f>
        <v>590</v>
      </c>
      <c r="E172" t="s" s="13">
        <f>"Michel Blaise"</f>
        <v>591</v>
      </c>
      <c r="F172" s="14">
        <v>31686</v>
      </c>
      <c r="G172" s="14">
        <v>45131</v>
      </c>
      <c r="H172" t="s" s="13">
        <v>93</v>
      </c>
      <c r="I172" t="s" s="13">
        <v>74</v>
      </c>
      <c r="J172" t="s" s="13">
        <f t="shared" si="350"/>
        <v>127</v>
      </c>
      <c r="K172" t="s" s="13">
        <f t="shared" si="144"/>
        <v>76</v>
      </c>
      <c r="L172" t="s" s="15">
        <v>77</v>
      </c>
      <c r="M172" t="s" s="13">
        <v>74</v>
      </c>
      <c r="N172" t="s" s="13">
        <v>128</v>
      </c>
      <c r="O172" t="s" s="13">
        <v>36</v>
      </c>
      <c r="P172" s="16">
        <f>G172</f>
        <v>45131</v>
      </c>
      <c r="Q172" s="16">
        <f>P172+364</f>
        <v>45495</v>
      </c>
      <c r="R172" s="16">
        <f>Q172+1</f>
        <v>45496</v>
      </c>
      <c r="S172" s="16">
        <f>R172+29</f>
        <v>45525</v>
      </c>
      <c r="T172" s="17">
        <v>30</v>
      </c>
      <c r="U172" s="18">
        <v>0</v>
      </c>
      <c r="V172" s="18">
        <f>T172-U172</f>
        <v>30</v>
      </c>
      <c r="W172" s="16">
        <f>R172+V172</f>
        <v>45526</v>
      </c>
      <c r="X172" s="16">
        <f>S172+1</f>
        <v>45526</v>
      </c>
      <c r="Y172" s="16">
        <f>X172+365</f>
        <v>45891</v>
      </c>
      <c r="Z172" s="22"/>
      <c r="AA172" t="s" s="15">
        <v>44</v>
      </c>
      <c r="AB172" t="s" s="15">
        <v>45</v>
      </c>
      <c r="AC172" t="s" s="15">
        <v>78</v>
      </c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</row>
    <row r="173" ht="13.55" customHeight="1">
      <c r="A173" t="s" s="13">
        <f t="shared" si="2724" ref="A173:B173">"03091"</f>
        <v>592</v>
      </c>
      <c r="B173" t="s" s="13">
        <f t="shared" si="2724"/>
        <v>592</v>
      </c>
      <c r="C173" t="s" s="13">
        <f t="shared" si="11"/>
        <v>27</v>
      </c>
      <c r="D173" t="s" s="13">
        <f>"NGASSEU SOUMENI"</f>
        <v>593</v>
      </c>
      <c r="E173" t="s" s="13">
        <f>"Franky-Dolins"</f>
        <v>594</v>
      </c>
      <c r="F173" s="14">
        <v>35652</v>
      </c>
      <c r="G173" s="14">
        <v>45132</v>
      </c>
      <c r="H173" t="s" s="13">
        <f t="shared" si="14"/>
        <v>30</v>
      </c>
      <c r="I173" t="s" s="13">
        <v>31</v>
      </c>
      <c r="J173" t="s" s="13">
        <f t="shared" si="159"/>
        <v>82</v>
      </c>
      <c r="K173" t="s" s="13">
        <f t="shared" si="16"/>
        <v>33</v>
      </c>
      <c r="L173" t="s" s="15">
        <v>34</v>
      </c>
      <c r="M173" t="s" s="13">
        <v>31</v>
      </c>
      <c r="N173" t="s" s="13">
        <v>35</v>
      </c>
      <c r="O173" t="s" s="13">
        <v>83</v>
      </c>
      <c r="P173" s="16">
        <f>G173</f>
        <v>45132</v>
      </c>
      <c r="Q173" s="16">
        <f>P173+364</f>
        <v>45496</v>
      </c>
      <c r="R173" s="16">
        <f>Q173+1</f>
        <v>45497</v>
      </c>
      <c r="S173" s="16">
        <f>R173+29</f>
        <v>45526</v>
      </c>
      <c r="T173" s="17">
        <v>30</v>
      </c>
      <c r="U173" s="18">
        <v>0</v>
      </c>
      <c r="V173" s="18">
        <f>T173-U173</f>
        <v>30</v>
      </c>
      <c r="W173" s="16">
        <f>R173+V173</f>
        <v>45527</v>
      </c>
      <c r="X173" s="16">
        <f>S173+1</f>
        <v>45527</v>
      </c>
      <c r="Y173" s="16">
        <f>X173+365</f>
        <v>45892</v>
      </c>
      <c r="Z173" s="22"/>
      <c r="AA173" t="s" s="15">
        <v>44</v>
      </c>
      <c r="AB173" t="s" s="15">
        <v>45</v>
      </c>
      <c r="AC173" t="s" s="15">
        <v>40</v>
      </c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</row>
    <row r="174" ht="13.55" customHeight="1">
      <c r="A174" t="s" s="13">
        <f t="shared" si="2740" ref="A174:B174">"03092"</f>
        <v>595</v>
      </c>
      <c r="B174" t="s" s="13">
        <f t="shared" si="2740"/>
        <v>595</v>
      </c>
      <c r="C174" t="s" s="13">
        <f t="shared" si="11"/>
        <v>27</v>
      </c>
      <c r="D174" t="s" s="13">
        <f>"TODOU"</f>
        <v>596</v>
      </c>
      <c r="E174" t="s" s="13">
        <f>"Valentin"</f>
        <v>597</v>
      </c>
      <c r="F174" s="14">
        <v>34703</v>
      </c>
      <c r="G174" s="14">
        <v>45131</v>
      </c>
      <c r="H174" t="s" s="13">
        <f t="shared" si="14"/>
        <v>30</v>
      </c>
      <c r="I174" t="s" s="13">
        <v>31</v>
      </c>
      <c r="J174" t="s" s="13">
        <f>"Conducteur de Bus"</f>
        <v>598</v>
      </c>
      <c r="K174" t="s" s="13">
        <f t="shared" si="16"/>
        <v>33</v>
      </c>
      <c r="L174" t="s" s="15">
        <v>34</v>
      </c>
      <c r="M174" t="s" s="13">
        <v>31</v>
      </c>
      <c r="N174" t="s" s="13">
        <v>128</v>
      </c>
      <c r="O174" t="s" s="13">
        <v>36</v>
      </c>
      <c r="P174" s="16">
        <f>G174</f>
        <v>45131</v>
      </c>
      <c r="Q174" s="16">
        <f>P174+364</f>
        <v>45495</v>
      </c>
      <c r="R174" s="16">
        <f>Q174+1</f>
        <v>45496</v>
      </c>
      <c r="S174" s="16">
        <f>R174+29</f>
        <v>45525</v>
      </c>
      <c r="T174" s="17">
        <v>30</v>
      </c>
      <c r="U174" s="18">
        <v>0</v>
      </c>
      <c r="V174" s="18">
        <f>T174-U174</f>
        <v>30</v>
      </c>
      <c r="W174" s="16">
        <f>R174+V174</f>
        <v>45526</v>
      </c>
      <c r="X174" s="16">
        <f>S174+1</f>
        <v>45526</v>
      </c>
      <c r="Y174" s="16">
        <f>X174+365</f>
        <v>45891</v>
      </c>
      <c r="Z174" s="22"/>
      <c r="AA174" t="s" s="15">
        <v>44</v>
      </c>
      <c r="AB174" t="s" s="15">
        <v>45</v>
      </c>
      <c r="AC174" t="s" s="15">
        <v>40</v>
      </c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</row>
    <row r="175" ht="13.55" customHeight="1">
      <c r="A175" t="s" s="13">
        <f t="shared" si="2756" ref="A175:B175">"03093"</f>
        <v>599</v>
      </c>
      <c r="B175" t="s" s="13">
        <f t="shared" si="2756"/>
        <v>599</v>
      </c>
      <c r="C175" t="s" s="13">
        <f t="shared" si="11"/>
        <v>27</v>
      </c>
      <c r="D175" t="s" s="13">
        <f>"NJIMOLUH BITEGYE"</f>
        <v>600</v>
      </c>
      <c r="E175" t="s" s="13">
        <f>"Samir Valère"</f>
        <v>601</v>
      </c>
      <c r="F175" s="14">
        <v>33097</v>
      </c>
      <c r="G175" s="14">
        <v>45145</v>
      </c>
      <c r="H175" t="s" s="13">
        <f t="shared" si="14"/>
        <v>30</v>
      </c>
      <c r="I175" t="s" s="13">
        <v>31</v>
      </c>
      <c r="J175" t="s" s="13">
        <f t="shared" si="2475"/>
        <v>544</v>
      </c>
      <c r="K175" t="s" s="13">
        <f t="shared" si="16"/>
        <v>33</v>
      </c>
      <c r="L175" t="s" s="15">
        <v>34</v>
      </c>
      <c r="M175" t="s" s="13">
        <v>31</v>
      </c>
      <c r="N175" t="s" s="13">
        <v>70</v>
      </c>
      <c r="O175" t="s" s="13">
        <v>36</v>
      </c>
      <c r="P175" s="16">
        <f>G175</f>
        <v>45145</v>
      </c>
      <c r="Q175" s="16">
        <f>P175+364</f>
        <v>45509</v>
      </c>
      <c r="R175" s="16">
        <f>Q175+1</f>
        <v>45510</v>
      </c>
      <c r="S175" s="16">
        <f>R175+29</f>
        <v>45539</v>
      </c>
      <c r="T175" s="17">
        <v>30</v>
      </c>
      <c r="U175" s="18">
        <v>0</v>
      </c>
      <c r="V175" s="18">
        <f>T175-U175</f>
        <v>30</v>
      </c>
      <c r="W175" s="16">
        <f>R175+V175</f>
        <v>45540</v>
      </c>
      <c r="X175" s="16">
        <f>S175+1</f>
        <v>45540</v>
      </c>
      <c r="Y175" s="16">
        <f>X175+365</f>
        <v>45905</v>
      </c>
      <c r="Z175" s="22"/>
      <c r="AA175" t="s" s="15">
        <v>44</v>
      </c>
      <c r="AB175" t="s" s="15">
        <v>45</v>
      </c>
      <c r="AC175" t="s" s="15">
        <v>40</v>
      </c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</row>
    <row r="176" ht="13.55" customHeight="1">
      <c r="A176" t="s" s="13">
        <f t="shared" si="2772" ref="A176:B176">"03094"</f>
        <v>602</v>
      </c>
      <c r="B176" t="s" s="13">
        <f t="shared" si="2772"/>
        <v>602</v>
      </c>
      <c r="C176" t="s" s="13">
        <f t="shared" si="11"/>
        <v>27</v>
      </c>
      <c r="D176" t="s" s="13">
        <f>"NLOM EDJO'O"</f>
        <v>603</v>
      </c>
      <c r="E176" t="s" s="13">
        <f>"Pierre Benjamin"</f>
        <v>604</v>
      </c>
      <c r="F176" s="14">
        <v>31997</v>
      </c>
      <c r="G176" s="14">
        <v>45141</v>
      </c>
      <c r="H176" t="s" s="13">
        <f t="shared" si="14"/>
        <v>30</v>
      </c>
      <c r="I176" t="s" s="13">
        <v>221</v>
      </c>
      <c r="J176" t="s" s="13">
        <f t="shared" si="350"/>
        <v>127</v>
      </c>
      <c r="K176" t="s" s="13">
        <f t="shared" si="96"/>
        <v>58</v>
      </c>
      <c r="L176" t="s" s="15">
        <v>222</v>
      </c>
      <c r="M176" t="s" s="13">
        <v>221</v>
      </c>
      <c r="N176" t="s" s="13">
        <v>128</v>
      </c>
      <c r="O176" t="s" s="13">
        <v>36</v>
      </c>
      <c r="P176" s="16">
        <f>G176</f>
        <v>45141</v>
      </c>
      <c r="Q176" s="16">
        <f>P176+364</f>
        <v>45505</v>
      </c>
      <c r="R176" s="16">
        <f>Q176+1</f>
        <v>45506</v>
      </c>
      <c r="S176" s="16">
        <f>R176+29</f>
        <v>45535</v>
      </c>
      <c r="T176" s="17">
        <v>30</v>
      </c>
      <c r="U176" s="18">
        <v>0</v>
      </c>
      <c r="V176" s="18">
        <f>T176-U176</f>
        <v>30</v>
      </c>
      <c r="W176" s="16">
        <f>R176+V176</f>
        <v>45536</v>
      </c>
      <c r="X176" s="16">
        <f>S176+1</f>
        <v>45536</v>
      </c>
      <c r="Y176" s="16">
        <f>X176+365</f>
        <v>45901</v>
      </c>
      <c r="Z176" t="s" s="19">
        <v>37</v>
      </c>
      <c r="AA176" t="s" s="15">
        <v>44</v>
      </c>
      <c r="AB176" t="s" s="15">
        <v>45</v>
      </c>
      <c r="AC176" t="s" s="15">
        <v>223</v>
      </c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</row>
    <row r="177" ht="13.55" customHeight="1">
      <c r="A177" t="s" s="13">
        <f t="shared" si="2788" ref="A177:B177">"03095"</f>
        <v>605</v>
      </c>
      <c r="B177" t="s" s="13">
        <f t="shared" si="2788"/>
        <v>605</v>
      </c>
      <c r="C177" t="s" s="13">
        <f t="shared" si="11"/>
        <v>27</v>
      </c>
      <c r="D177" t="s" s="13">
        <f>"EYINI"</f>
        <v>606</v>
      </c>
      <c r="E177" t="s" s="13">
        <f>"Jacque-Joël"</f>
        <v>607</v>
      </c>
      <c r="F177" s="14">
        <v>36687</v>
      </c>
      <c r="G177" s="14">
        <v>45139</v>
      </c>
      <c r="H177" t="s" s="13">
        <f t="shared" si="14"/>
        <v>30</v>
      </c>
      <c r="I177" t="s" s="13">
        <v>74</v>
      </c>
      <c r="J177" t="s" s="13">
        <f t="shared" si="222"/>
        <v>98</v>
      </c>
      <c r="K177" t="s" s="13">
        <f t="shared" si="144"/>
        <v>76</v>
      </c>
      <c r="L177" t="s" s="15">
        <v>77</v>
      </c>
      <c r="M177" t="s" s="13">
        <v>74</v>
      </c>
      <c r="N177" t="s" s="13">
        <v>35</v>
      </c>
      <c r="O177" t="s" s="13">
        <v>83</v>
      </c>
      <c r="P177" s="16">
        <f>G177</f>
        <v>45139</v>
      </c>
      <c r="Q177" s="16">
        <f>P177+364</f>
        <v>45503</v>
      </c>
      <c r="R177" s="16">
        <f>Q177+1</f>
        <v>45504</v>
      </c>
      <c r="S177" s="16">
        <f>R177+29</f>
        <v>45533</v>
      </c>
      <c r="T177" s="17">
        <v>30</v>
      </c>
      <c r="U177" s="18">
        <v>0</v>
      </c>
      <c r="V177" s="18">
        <f>T177-U177</f>
        <v>30</v>
      </c>
      <c r="W177" s="16">
        <f>R177+V177</f>
        <v>45534</v>
      </c>
      <c r="X177" s="16">
        <f>S177+1</f>
        <v>45534</v>
      </c>
      <c r="Y177" s="16">
        <f>X177+365</f>
        <v>45899</v>
      </c>
      <c r="Z177" t="s" s="19">
        <v>37</v>
      </c>
      <c r="AA177" t="s" s="15">
        <v>44</v>
      </c>
      <c r="AB177" t="s" s="15">
        <v>45</v>
      </c>
      <c r="AC177" t="s" s="15">
        <v>78</v>
      </c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</row>
    <row r="178" ht="13.55" customHeight="1">
      <c r="A178" t="s" s="13">
        <f t="shared" si="2804" ref="A178:B178">"03096"</f>
        <v>608</v>
      </c>
      <c r="B178" t="s" s="13">
        <f t="shared" si="2804"/>
        <v>608</v>
      </c>
      <c r="C178" t="s" s="13">
        <f t="shared" si="11"/>
        <v>27</v>
      </c>
      <c r="D178" t="s" s="13">
        <f>"MENYENG ESSAMA"</f>
        <v>609</v>
      </c>
      <c r="E178" t="s" s="13">
        <f>"Andy"</f>
        <v>610</v>
      </c>
      <c r="F178" s="14">
        <v>36417</v>
      </c>
      <c r="G178" s="14">
        <v>45140</v>
      </c>
      <c r="H178" t="s" s="13">
        <f t="shared" si="14"/>
        <v>30</v>
      </c>
      <c r="I178" t="s" s="13">
        <v>74</v>
      </c>
      <c r="J178" t="s" s="13">
        <f t="shared" si="143"/>
        <v>75</v>
      </c>
      <c r="K178" t="s" s="13">
        <f t="shared" si="144"/>
        <v>76</v>
      </c>
      <c r="L178" t="s" s="15">
        <v>77</v>
      </c>
      <c r="M178" t="s" s="13">
        <v>74</v>
      </c>
      <c r="N178" t="s" s="13">
        <v>70</v>
      </c>
      <c r="O178" t="s" s="13">
        <v>36</v>
      </c>
      <c r="P178" s="16">
        <f>G178</f>
        <v>45140</v>
      </c>
      <c r="Q178" s="16">
        <f>P178+364</f>
        <v>45504</v>
      </c>
      <c r="R178" s="16">
        <f>Q178+1</f>
        <v>45505</v>
      </c>
      <c r="S178" s="16">
        <f>R178+29</f>
        <v>45534</v>
      </c>
      <c r="T178" s="17">
        <v>30</v>
      </c>
      <c r="U178" s="18">
        <v>0</v>
      </c>
      <c r="V178" s="18">
        <f>T178-U178</f>
        <v>30</v>
      </c>
      <c r="W178" s="16">
        <f>R178+V178</f>
        <v>45535</v>
      </c>
      <c r="X178" s="16">
        <f>S178+1</f>
        <v>45535</v>
      </c>
      <c r="Y178" s="16">
        <f>X178+365</f>
        <v>45900</v>
      </c>
      <c r="Z178" t="s" s="19">
        <v>37</v>
      </c>
      <c r="AA178" t="s" s="15">
        <v>44</v>
      </c>
      <c r="AB178" t="s" s="15">
        <v>45</v>
      </c>
      <c r="AC178" t="s" s="15">
        <v>40</v>
      </c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</row>
    <row r="179" ht="13.55" customHeight="1">
      <c r="A179" t="s" s="13">
        <f t="shared" si="2820" ref="A179:B179">"03098"</f>
        <v>611</v>
      </c>
      <c r="B179" t="s" s="13">
        <f t="shared" si="2820"/>
        <v>611</v>
      </c>
      <c r="C179" t="s" s="13">
        <f t="shared" si="11"/>
        <v>27</v>
      </c>
      <c r="D179" t="s" s="13">
        <f>"TSOUNGUI NTOU"</f>
        <v>612</v>
      </c>
      <c r="E179" t="s" s="13">
        <f>"Albert Kisito"</f>
        <v>613</v>
      </c>
      <c r="F179" s="14">
        <v>31020</v>
      </c>
      <c r="G179" s="14">
        <v>45166</v>
      </c>
      <c r="H179" t="s" s="13">
        <f t="shared" si="14"/>
        <v>30</v>
      </c>
      <c r="I179" t="s" s="13">
        <v>31</v>
      </c>
      <c r="J179" t="s" s="13">
        <f t="shared" si="2475"/>
        <v>544</v>
      </c>
      <c r="K179" t="s" s="13">
        <f t="shared" si="16"/>
        <v>33</v>
      </c>
      <c r="L179" t="s" s="15">
        <v>34</v>
      </c>
      <c r="M179" t="s" s="13">
        <v>31</v>
      </c>
      <c r="N179" t="s" s="13">
        <v>70</v>
      </c>
      <c r="O179" t="s" s="13">
        <v>36</v>
      </c>
      <c r="P179" s="16">
        <f>G179</f>
        <v>45166</v>
      </c>
      <c r="Q179" s="16">
        <f>P179+364</f>
        <v>45530</v>
      </c>
      <c r="R179" s="16">
        <f>Q179+1</f>
        <v>45531</v>
      </c>
      <c r="S179" s="16">
        <f>R179+29</f>
        <v>45560</v>
      </c>
      <c r="T179" s="17">
        <v>30</v>
      </c>
      <c r="U179" s="18">
        <v>0</v>
      </c>
      <c r="V179" s="18">
        <f>T179-U179</f>
        <v>30</v>
      </c>
      <c r="W179" s="16">
        <f>R179+V179</f>
        <v>45561</v>
      </c>
      <c r="X179" s="16">
        <f>S179+1</f>
        <v>45561</v>
      </c>
      <c r="Y179" s="16">
        <f>X179+365</f>
        <v>45926</v>
      </c>
      <c r="Z179" t="s" s="19">
        <v>37</v>
      </c>
      <c r="AA179" t="s" s="15">
        <v>44</v>
      </c>
      <c r="AB179" t="s" s="15">
        <v>45</v>
      </c>
      <c r="AC179" t="s" s="15">
        <v>40</v>
      </c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</row>
    <row r="180" ht="13.55" customHeight="1">
      <c r="A180" t="s" s="13">
        <f t="shared" si="2836" ref="A180:B180">"03099"</f>
        <v>614</v>
      </c>
      <c r="B180" t="s" s="13">
        <f t="shared" si="2836"/>
        <v>614</v>
      </c>
      <c r="C180" t="s" s="13">
        <f t="shared" si="11"/>
        <v>27</v>
      </c>
      <c r="D180" t="s" s="13">
        <f>"NDONG EDIMENGO"</f>
        <v>615</v>
      </c>
      <c r="E180" t="s" s="13">
        <f>"Mathieu Junior"</f>
        <v>616</v>
      </c>
      <c r="F180" s="14">
        <v>35167</v>
      </c>
      <c r="G180" s="14">
        <v>45168</v>
      </c>
      <c r="H180" t="s" s="13">
        <f t="shared" si="14"/>
        <v>30</v>
      </c>
      <c r="I180" t="s" s="13">
        <v>31</v>
      </c>
      <c r="J180" t="s" s="13">
        <f t="shared" si="15"/>
        <v>32</v>
      </c>
      <c r="K180" t="s" s="13">
        <f t="shared" si="16"/>
        <v>33</v>
      </c>
      <c r="L180" t="s" s="15">
        <v>34</v>
      </c>
      <c r="M180" t="s" s="13">
        <v>31</v>
      </c>
      <c r="N180" t="s" s="13">
        <v>35</v>
      </c>
      <c r="O180" t="s" s="13">
        <v>83</v>
      </c>
      <c r="P180" s="16">
        <f>G180</f>
        <v>45168</v>
      </c>
      <c r="Q180" s="16">
        <f>P180+364</f>
        <v>45532</v>
      </c>
      <c r="R180" s="16">
        <f>Q180+1</f>
        <v>45533</v>
      </c>
      <c r="S180" s="16">
        <f>R180+29</f>
        <v>45562</v>
      </c>
      <c r="T180" s="17">
        <v>30</v>
      </c>
      <c r="U180" s="18">
        <v>0</v>
      </c>
      <c r="V180" s="18">
        <f>T180-U180</f>
        <v>30</v>
      </c>
      <c r="W180" s="16">
        <f>R180+V180</f>
        <v>45563</v>
      </c>
      <c r="X180" s="16">
        <f>S180+1</f>
        <v>45563</v>
      </c>
      <c r="Y180" s="16">
        <f>X180+365</f>
        <v>45928</v>
      </c>
      <c r="Z180" s="21"/>
      <c r="AA180" t="s" s="15">
        <v>44</v>
      </c>
      <c r="AB180" t="s" s="15">
        <v>45</v>
      </c>
      <c r="AC180" t="s" s="15">
        <v>40</v>
      </c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</row>
    <row r="181" ht="13.55" customHeight="1">
      <c r="A181" t="s" s="13">
        <f t="shared" si="2852" ref="A181:B181">"03100"</f>
        <v>617</v>
      </c>
      <c r="B181" t="s" s="13">
        <f t="shared" si="2852"/>
        <v>617</v>
      </c>
      <c r="C181" t="s" s="13">
        <f t="shared" si="11"/>
        <v>27</v>
      </c>
      <c r="D181" t="s" s="13">
        <f>"NDONG"</f>
        <v>618</v>
      </c>
      <c r="E181" t="s" s="13">
        <f>"Jean Philippe Simon"</f>
        <v>619</v>
      </c>
      <c r="F181" s="14">
        <v>34339</v>
      </c>
      <c r="G181" s="14">
        <v>45167</v>
      </c>
      <c r="H181" t="s" s="13">
        <f t="shared" si="14"/>
        <v>30</v>
      </c>
      <c r="I181" t="s" s="13">
        <v>31</v>
      </c>
      <c r="J181" t="s" s="13">
        <f t="shared" si="15"/>
        <v>32</v>
      </c>
      <c r="K181" t="s" s="13">
        <f t="shared" si="16"/>
        <v>33</v>
      </c>
      <c r="L181" t="s" s="15">
        <v>34</v>
      </c>
      <c r="M181" t="s" s="13">
        <v>31</v>
      </c>
      <c r="N181" t="s" s="13">
        <v>35</v>
      </c>
      <c r="O181" t="s" s="13">
        <v>83</v>
      </c>
      <c r="P181" s="16">
        <f>G181</f>
        <v>45167</v>
      </c>
      <c r="Q181" s="16">
        <f>P181+364</f>
        <v>45531</v>
      </c>
      <c r="R181" s="16">
        <f>Q181+1</f>
        <v>45532</v>
      </c>
      <c r="S181" s="16">
        <f>R181+29</f>
        <v>45561</v>
      </c>
      <c r="T181" s="17">
        <v>30</v>
      </c>
      <c r="U181" s="18">
        <v>0</v>
      </c>
      <c r="V181" s="18">
        <f>T181-U181</f>
        <v>30</v>
      </c>
      <c r="W181" s="16">
        <f>R181+V181</f>
        <v>45562</v>
      </c>
      <c r="X181" s="16">
        <f>S181+1</f>
        <v>45562</v>
      </c>
      <c r="Y181" s="16">
        <f>X181+365</f>
        <v>45927</v>
      </c>
      <c r="Z181" t="s" s="19">
        <v>37</v>
      </c>
      <c r="AA181" t="s" s="15">
        <v>44</v>
      </c>
      <c r="AB181" t="s" s="15">
        <v>45</v>
      </c>
      <c r="AC181" t="s" s="15">
        <v>40</v>
      </c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</row>
    <row r="182" ht="13.55" customHeight="1">
      <c r="A182" t="s" s="13">
        <f t="shared" si="2868" ref="A182:B182">"03101"</f>
        <v>620</v>
      </c>
      <c r="B182" t="s" s="13">
        <f t="shared" si="2868"/>
        <v>620</v>
      </c>
      <c r="C182" t="s" s="13">
        <f t="shared" si="11"/>
        <v>27</v>
      </c>
      <c r="D182" t="s" s="13">
        <f>"ONANA BENOAH"</f>
        <v>621</v>
      </c>
      <c r="E182" t="s" s="13">
        <f>"Paulin"</f>
        <v>622</v>
      </c>
      <c r="F182" s="14">
        <v>35316</v>
      </c>
      <c r="G182" s="14">
        <v>45173</v>
      </c>
      <c r="H182" t="s" s="13">
        <f t="shared" si="14"/>
        <v>30</v>
      </c>
      <c r="I182" t="s" s="13">
        <v>31</v>
      </c>
      <c r="J182" t="s" s="13">
        <f t="shared" si="15"/>
        <v>32</v>
      </c>
      <c r="K182" t="s" s="13">
        <f t="shared" si="16"/>
        <v>33</v>
      </c>
      <c r="L182" t="s" s="15">
        <v>34</v>
      </c>
      <c r="M182" t="s" s="13">
        <v>31</v>
      </c>
      <c r="N182" t="s" s="13">
        <v>35</v>
      </c>
      <c r="O182" t="s" s="13">
        <v>83</v>
      </c>
      <c r="P182" s="16">
        <f>G182</f>
        <v>45173</v>
      </c>
      <c r="Q182" s="16">
        <f>P182+364</f>
        <v>45537</v>
      </c>
      <c r="R182" s="16">
        <f>Q182+1</f>
        <v>45538</v>
      </c>
      <c r="S182" s="16">
        <f>R182+29</f>
        <v>45567</v>
      </c>
      <c r="T182" s="17">
        <v>30</v>
      </c>
      <c r="U182" s="18">
        <v>0</v>
      </c>
      <c r="V182" s="18">
        <f>T182-U182</f>
        <v>30</v>
      </c>
      <c r="W182" s="16">
        <f>R182+V182</f>
        <v>45568</v>
      </c>
      <c r="X182" s="16">
        <f>S182+1</f>
        <v>45568</v>
      </c>
      <c r="Y182" s="16">
        <f>X182+365</f>
        <v>45933</v>
      </c>
      <c r="Z182" t="s" s="19">
        <v>37</v>
      </c>
      <c r="AA182" t="s" s="15">
        <v>44</v>
      </c>
      <c r="AB182" t="s" s="15">
        <v>45</v>
      </c>
      <c r="AC182" t="s" s="15">
        <v>40</v>
      </c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</row>
    <row r="183" ht="13.55" customHeight="1">
      <c r="A183" t="s" s="13">
        <f t="shared" si="2884" ref="A183:B183">"03102"</f>
        <v>623</v>
      </c>
      <c r="B183" t="s" s="13">
        <f t="shared" si="2884"/>
        <v>623</v>
      </c>
      <c r="C183" t="s" s="13">
        <f t="shared" si="11"/>
        <v>27</v>
      </c>
      <c r="D183" t="s" s="13">
        <f>"ATANGANA OMGBA"</f>
        <v>624</v>
      </c>
      <c r="E183" t="s" s="13">
        <f>"Marcel Stève"</f>
        <v>625</v>
      </c>
      <c r="F183" s="14">
        <v>35837</v>
      </c>
      <c r="G183" s="14">
        <v>45173</v>
      </c>
      <c r="H183" t="s" s="13">
        <f t="shared" si="14"/>
        <v>30</v>
      </c>
      <c r="I183" t="s" s="13">
        <v>31</v>
      </c>
      <c r="J183" t="s" s="13">
        <f t="shared" si="15"/>
        <v>32</v>
      </c>
      <c r="K183" t="s" s="13">
        <f t="shared" si="16"/>
        <v>33</v>
      </c>
      <c r="L183" t="s" s="15">
        <v>34</v>
      </c>
      <c r="M183" t="s" s="13">
        <v>31</v>
      </c>
      <c r="N183" t="s" s="13">
        <v>35</v>
      </c>
      <c r="O183" t="s" s="13">
        <v>83</v>
      </c>
      <c r="P183" s="16">
        <f>G183</f>
        <v>45173</v>
      </c>
      <c r="Q183" s="16">
        <f>P183+364</f>
        <v>45537</v>
      </c>
      <c r="R183" s="16">
        <f>Q183+1</f>
        <v>45538</v>
      </c>
      <c r="S183" s="16">
        <f>R183+29</f>
        <v>45567</v>
      </c>
      <c r="T183" s="17">
        <v>30</v>
      </c>
      <c r="U183" s="18">
        <v>0</v>
      </c>
      <c r="V183" s="18">
        <f>T183-U183</f>
        <v>30</v>
      </c>
      <c r="W183" s="16">
        <f>R183+V183</f>
        <v>45568</v>
      </c>
      <c r="X183" s="16">
        <f>S183+1</f>
        <v>45568</v>
      </c>
      <c r="Y183" s="16">
        <f>X183+365</f>
        <v>45933</v>
      </c>
      <c r="Z183" t="s" s="19">
        <v>37</v>
      </c>
      <c r="AA183" t="s" s="15">
        <v>44</v>
      </c>
      <c r="AB183" t="s" s="15">
        <v>45</v>
      </c>
      <c r="AC183" t="s" s="15">
        <v>40</v>
      </c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</row>
    <row r="184" ht="13.55" customHeight="1">
      <c r="A184" t="s" s="13">
        <f t="shared" si="2900" ref="A184:B184">"03103"</f>
        <v>626</v>
      </c>
      <c r="B184" t="s" s="13">
        <f t="shared" si="2900"/>
        <v>626</v>
      </c>
      <c r="C184" t="s" s="13">
        <f t="shared" si="11"/>
        <v>27</v>
      </c>
      <c r="D184" t="s" s="13">
        <f>"SAMA MENYIE"</f>
        <v>627</v>
      </c>
      <c r="E184" t="s" s="13">
        <f>"Emile Albain"</f>
        <v>628</v>
      </c>
      <c r="F184" s="14">
        <v>35980</v>
      </c>
      <c r="G184" s="14">
        <v>45173</v>
      </c>
      <c r="H184" t="s" s="13">
        <f t="shared" si="14"/>
        <v>30</v>
      </c>
      <c r="I184" t="s" s="13">
        <v>31</v>
      </c>
      <c r="J184" t="s" s="13">
        <f t="shared" si="15"/>
        <v>32</v>
      </c>
      <c r="K184" t="s" s="13">
        <f t="shared" si="16"/>
        <v>33</v>
      </c>
      <c r="L184" t="s" s="15">
        <v>34</v>
      </c>
      <c r="M184" t="s" s="13">
        <v>31</v>
      </c>
      <c r="N184" t="s" s="13">
        <v>35</v>
      </c>
      <c r="O184" t="s" s="13">
        <v>83</v>
      </c>
      <c r="P184" s="16">
        <f>G184</f>
        <v>45173</v>
      </c>
      <c r="Q184" s="16">
        <f>P184+364</f>
        <v>45537</v>
      </c>
      <c r="R184" s="16">
        <f>Q184+1</f>
        <v>45538</v>
      </c>
      <c r="S184" s="16">
        <f>R184+29</f>
        <v>45567</v>
      </c>
      <c r="T184" s="17">
        <v>30</v>
      </c>
      <c r="U184" s="18">
        <v>0</v>
      </c>
      <c r="V184" s="18">
        <f>T184-U184</f>
        <v>30</v>
      </c>
      <c r="W184" s="16">
        <f>R184+V184</f>
        <v>45568</v>
      </c>
      <c r="X184" s="16">
        <f>S184+1</f>
        <v>45568</v>
      </c>
      <c r="Y184" s="16">
        <f>X184+365</f>
        <v>45933</v>
      </c>
      <c r="Z184" t="s" s="19">
        <v>37</v>
      </c>
      <c r="AA184" t="s" s="15">
        <v>44</v>
      </c>
      <c r="AB184" t="s" s="15">
        <v>45</v>
      </c>
      <c r="AC184" t="s" s="15">
        <v>40</v>
      </c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</row>
    <row r="185" ht="13.55" customHeight="1">
      <c r="A185" t="s" s="13">
        <f t="shared" si="2916" ref="A185:B185">"03104"</f>
        <v>629</v>
      </c>
      <c r="B185" t="s" s="13">
        <f t="shared" si="2916"/>
        <v>629</v>
      </c>
      <c r="C185" t="s" s="13">
        <f t="shared" si="11"/>
        <v>27</v>
      </c>
      <c r="D185" t="s" s="13">
        <f>"DEFFO NOAH"</f>
        <v>630</v>
      </c>
      <c r="E185" t="s" s="13">
        <f>"Thibaut"</f>
        <v>631</v>
      </c>
      <c r="F185" s="14">
        <v>35093</v>
      </c>
      <c r="G185" s="14">
        <v>45168</v>
      </c>
      <c r="H185" t="s" s="13">
        <f t="shared" si="14"/>
        <v>30</v>
      </c>
      <c r="I185" t="s" s="13">
        <v>31</v>
      </c>
      <c r="J185" t="s" s="13">
        <f t="shared" si="15"/>
        <v>32</v>
      </c>
      <c r="K185" t="s" s="13">
        <f t="shared" si="16"/>
        <v>33</v>
      </c>
      <c r="L185" t="s" s="15">
        <v>34</v>
      </c>
      <c r="M185" t="s" s="13">
        <v>31</v>
      </c>
      <c r="N185" t="s" s="13">
        <v>35</v>
      </c>
      <c r="O185" t="s" s="13">
        <v>83</v>
      </c>
      <c r="P185" s="16">
        <f>G185</f>
        <v>45168</v>
      </c>
      <c r="Q185" s="16">
        <f>P185+364</f>
        <v>45532</v>
      </c>
      <c r="R185" s="16">
        <f>Q185+1</f>
        <v>45533</v>
      </c>
      <c r="S185" s="16">
        <f>R185+29</f>
        <v>45562</v>
      </c>
      <c r="T185" s="17">
        <v>30</v>
      </c>
      <c r="U185" s="18">
        <v>0</v>
      </c>
      <c r="V185" s="18">
        <f>T185-U185</f>
        <v>30</v>
      </c>
      <c r="W185" s="16">
        <f>R185+V185</f>
        <v>45563</v>
      </c>
      <c r="X185" s="16">
        <f>S185+1</f>
        <v>45563</v>
      </c>
      <c r="Y185" s="16">
        <f>X185+365</f>
        <v>45928</v>
      </c>
      <c r="Z185" t="s" s="19">
        <v>37</v>
      </c>
      <c r="AA185" t="s" s="15">
        <v>44</v>
      </c>
      <c r="AB185" t="s" s="15">
        <v>45</v>
      </c>
      <c r="AC185" t="s" s="15">
        <v>40</v>
      </c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</row>
    <row r="186" ht="13.55" customHeight="1">
      <c r="A186" t="s" s="13">
        <f t="shared" si="2932" ref="A186:B186">"03105"</f>
        <v>632</v>
      </c>
      <c r="B186" t="s" s="13">
        <f t="shared" si="2932"/>
        <v>632</v>
      </c>
      <c r="C186" t="s" s="13">
        <f t="shared" si="11"/>
        <v>27</v>
      </c>
      <c r="D186" t="s" s="13">
        <f>"ENGOUNG ASSEMBE"</f>
        <v>633</v>
      </c>
      <c r="E186" t="s" s="13">
        <f>"Salomé Laure"</f>
        <v>634</v>
      </c>
      <c r="F186" s="14">
        <v>33775</v>
      </c>
      <c r="G186" s="14">
        <v>45156</v>
      </c>
      <c r="H186" t="s" s="13">
        <f t="shared" si="14"/>
        <v>30</v>
      </c>
      <c r="I186" t="s" s="13">
        <v>31</v>
      </c>
      <c r="J186" t="s" s="13">
        <f t="shared" si="159"/>
        <v>82</v>
      </c>
      <c r="K186" t="s" s="13">
        <f t="shared" si="16"/>
        <v>33</v>
      </c>
      <c r="L186" t="s" s="15">
        <v>34</v>
      </c>
      <c r="M186" t="s" s="13">
        <v>31</v>
      </c>
      <c r="N186" t="s" s="13">
        <v>35</v>
      </c>
      <c r="O186" t="s" s="13">
        <v>83</v>
      </c>
      <c r="P186" s="16">
        <f>G186</f>
        <v>45156</v>
      </c>
      <c r="Q186" s="16">
        <f>P186+364</f>
        <v>45520</v>
      </c>
      <c r="R186" s="16">
        <f>Q186+1</f>
        <v>45521</v>
      </c>
      <c r="S186" s="16">
        <f>R186+29</f>
        <v>45550</v>
      </c>
      <c r="T186" s="17">
        <v>30</v>
      </c>
      <c r="U186" s="18">
        <v>0</v>
      </c>
      <c r="V186" s="18">
        <f>T186-U186</f>
        <v>30</v>
      </c>
      <c r="W186" s="16">
        <f>R186+V186</f>
        <v>45551</v>
      </c>
      <c r="X186" s="16">
        <f>S186+1</f>
        <v>45551</v>
      </c>
      <c r="Y186" s="16">
        <f>X186+365</f>
        <v>45916</v>
      </c>
      <c r="Z186" t="s" s="19">
        <v>37</v>
      </c>
      <c r="AA186" t="s" s="15">
        <v>44</v>
      </c>
      <c r="AB186" t="s" s="15">
        <v>45</v>
      </c>
      <c r="AC186" t="s" s="15">
        <v>40</v>
      </c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</row>
    <row r="187" ht="13.55" customHeight="1">
      <c r="A187" t="s" s="13">
        <f t="shared" si="2948" ref="A187:B187">"03106"</f>
        <v>635</v>
      </c>
      <c r="B187" t="s" s="13">
        <f t="shared" si="2948"/>
        <v>635</v>
      </c>
      <c r="C187" t="s" s="13">
        <f t="shared" si="11"/>
        <v>27</v>
      </c>
      <c r="D187" t="s" s="13">
        <f>"NTIMBENA EZA'A"</f>
        <v>636</v>
      </c>
      <c r="E187" t="s" s="13">
        <f>"Melvin"</f>
        <v>637</v>
      </c>
      <c r="F187" s="14">
        <v>35110</v>
      </c>
      <c r="G187" s="14">
        <v>45168</v>
      </c>
      <c r="H187" t="s" s="13">
        <f t="shared" si="14"/>
        <v>30</v>
      </c>
      <c r="I187" t="s" s="13">
        <v>31</v>
      </c>
      <c r="J187" t="s" s="13">
        <f t="shared" si="15"/>
        <v>32</v>
      </c>
      <c r="K187" t="s" s="13">
        <f t="shared" si="16"/>
        <v>33</v>
      </c>
      <c r="L187" t="s" s="15">
        <v>34</v>
      </c>
      <c r="M187" t="s" s="13">
        <v>31</v>
      </c>
      <c r="N187" t="s" s="13">
        <v>35</v>
      </c>
      <c r="O187" t="s" s="13">
        <v>83</v>
      </c>
      <c r="P187" s="16">
        <f>G187</f>
        <v>45168</v>
      </c>
      <c r="Q187" s="16">
        <f>P187+364</f>
        <v>45532</v>
      </c>
      <c r="R187" s="16">
        <f>Q187+1</f>
        <v>45533</v>
      </c>
      <c r="S187" s="16">
        <f>R187+29</f>
        <v>45562</v>
      </c>
      <c r="T187" s="17">
        <v>30</v>
      </c>
      <c r="U187" s="18">
        <v>0</v>
      </c>
      <c r="V187" s="18">
        <f>T187-U187</f>
        <v>30</v>
      </c>
      <c r="W187" s="16">
        <f>R187+V187</f>
        <v>45563</v>
      </c>
      <c r="X187" s="16">
        <f>S187+1</f>
        <v>45563</v>
      </c>
      <c r="Y187" s="16">
        <f>X187+365</f>
        <v>45928</v>
      </c>
      <c r="Z187" t="s" s="19">
        <v>37</v>
      </c>
      <c r="AA187" t="s" s="15">
        <v>44</v>
      </c>
      <c r="AB187" t="s" s="15">
        <v>45</v>
      </c>
      <c r="AC187" t="s" s="15">
        <v>40</v>
      </c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</row>
    <row r="188" ht="13.55" customHeight="1">
      <c r="A188" t="s" s="13">
        <f t="shared" si="2964" ref="A188:B188">"03108"</f>
        <v>638</v>
      </c>
      <c r="B188" t="s" s="13">
        <f t="shared" si="2964"/>
        <v>638</v>
      </c>
      <c r="C188" t="s" s="13">
        <f t="shared" si="11"/>
        <v>27</v>
      </c>
      <c r="D188" t="s" s="13">
        <f>"DEFFOSOP"</f>
        <v>639</v>
      </c>
      <c r="E188" t="s" s="13">
        <f>"Gildas Kevin"</f>
        <v>640</v>
      </c>
      <c r="F188" s="14">
        <v>34834</v>
      </c>
      <c r="G188" s="14">
        <v>45173</v>
      </c>
      <c r="H188" t="s" s="13">
        <f t="shared" si="14"/>
        <v>30</v>
      </c>
      <c r="I188" t="s" s="13">
        <v>31</v>
      </c>
      <c r="J188" t="s" s="13">
        <f t="shared" si="15"/>
        <v>32</v>
      </c>
      <c r="K188" t="s" s="13">
        <f t="shared" si="16"/>
        <v>33</v>
      </c>
      <c r="L188" t="s" s="15">
        <v>34</v>
      </c>
      <c r="M188" t="s" s="13">
        <v>31</v>
      </c>
      <c r="N188" t="s" s="13">
        <v>35</v>
      </c>
      <c r="O188" t="s" s="13">
        <v>83</v>
      </c>
      <c r="P188" s="16">
        <f>G188</f>
        <v>45173</v>
      </c>
      <c r="Q188" s="16">
        <f>P188+364</f>
        <v>45537</v>
      </c>
      <c r="R188" s="16">
        <f>Q188+1</f>
        <v>45538</v>
      </c>
      <c r="S188" s="16">
        <f>R188+29</f>
        <v>45567</v>
      </c>
      <c r="T188" s="17">
        <v>30</v>
      </c>
      <c r="U188" s="18">
        <v>0</v>
      </c>
      <c r="V188" s="18">
        <f>T188-U188</f>
        <v>30</v>
      </c>
      <c r="W188" s="16">
        <f>R188+V188</f>
        <v>45568</v>
      </c>
      <c r="X188" s="16">
        <f>S188+1</f>
        <v>45568</v>
      </c>
      <c r="Y188" s="16">
        <f>X188+365</f>
        <v>45933</v>
      </c>
      <c r="Z188" t="s" s="19">
        <v>37</v>
      </c>
      <c r="AA188" t="s" s="15">
        <v>44</v>
      </c>
      <c r="AB188" t="s" s="15">
        <v>45</v>
      </c>
      <c r="AC188" t="s" s="15">
        <v>40</v>
      </c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</row>
    <row r="189" ht="13.55" customHeight="1">
      <c r="A189" t="s" s="13">
        <f t="shared" si="2980" ref="A189:B189">"03109"</f>
        <v>641</v>
      </c>
      <c r="B189" t="s" s="13">
        <f t="shared" si="2980"/>
        <v>641</v>
      </c>
      <c r="C189" t="s" s="13">
        <f t="shared" si="11"/>
        <v>27</v>
      </c>
      <c r="D189" t="s" s="13">
        <f>"FANKAM NGALATCHUI"</f>
        <v>642</v>
      </c>
      <c r="E189" t="s" s="13">
        <f>"Nicéphore"</f>
        <v>643</v>
      </c>
      <c r="F189" s="14">
        <v>34336</v>
      </c>
      <c r="G189" s="14">
        <v>45170</v>
      </c>
      <c r="H189" t="s" s="13">
        <f t="shared" si="14"/>
        <v>30</v>
      </c>
      <c r="I189" t="s" s="13">
        <v>31</v>
      </c>
      <c r="J189" t="s" s="13">
        <f t="shared" si="15"/>
        <v>32</v>
      </c>
      <c r="K189" t="s" s="13">
        <f t="shared" si="16"/>
        <v>33</v>
      </c>
      <c r="L189" t="s" s="15">
        <v>34</v>
      </c>
      <c r="M189" t="s" s="13">
        <v>31</v>
      </c>
      <c r="N189" t="s" s="13">
        <v>35</v>
      </c>
      <c r="O189" t="s" s="13">
        <v>83</v>
      </c>
      <c r="P189" s="16">
        <f>G189</f>
        <v>45170</v>
      </c>
      <c r="Q189" s="16">
        <f>P189+364</f>
        <v>45534</v>
      </c>
      <c r="R189" s="16">
        <f>Q189+1</f>
        <v>45535</v>
      </c>
      <c r="S189" s="16">
        <f>R189+29</f>
        <v>45564</v>
      </c>
      <c r="T189" s="17">
        <v>30</v>
      </c>
      <c r="U189" s="18">
        <v>0</v>
      </c>
      <c r="V189" s="18">
        <f>T189-U189</f>
        <v>30</v>
      </c>
      <c r="W189" s="16">
        <f>R189+V189</f>
        <v>45565</v>
      </c>
      <c r="X189" s="16">
        <f>S189+1</f>
        <v>45565</v>
      </c>
      <c r="Y189" s="16">
        <f>X189+365</f>
        <v>45930</v>
      </c>
      <c r="Z189" t="s" s="19">
        <v>37</v>
      </c>
      <c r="AA189" t="s" s="15">
        <v>44</v>
      </c>
      <c r="AB189" t="s" s="15">
        <v>45</v>
      </c>
      <c r="AC189" t="s" s="15">
        <v>40</v>
      </c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</row>
    <row r="190" ht="13.55" customHeight="1">
      <c r="A190" t="s" s="13">
        <f t="shared" si="2996" ref="A190:B190">"03110"</f>
        <v>644</v>
      </c>
      <c r="B190" t="s" s="13">
        <f t="shared" si="2996"/>
        <v>644</v>
      </c>
      <c r="C190" t="s" s="13">
        <f t="shared" si="11"/>
        <v>27</v>
      </c>
      <c r="D190" t="s" s="13">
        <f>"EPOH"</f>
        <v>645</v>
      </c>
      <c r="E190" t="s" s="13">
        <f>"Georges Romuald"</f>
        <v>646</v>
      </c>
      <c r="F190" s="14">
        <v>34548</v>
      </c>
      <c r="G190" s="14">
        <v>45173</v>
      </c>
      <c r="H190" t="s" s="13">
        <f t="shared" si="14"/>
        <v>30</v>
      </c>
      <c r="I190" t="s" s="13">
        <v>31</v>
      </c>
      <c r="J190" t="s" s="13">
        <f t="shared" si="15"/>
        <v>32</v>
      </c>
      <c r="K190" t="s" s="13">
        <f t="shared" si="16"/>
        <v>33</v>
      </c>
      <c r="L190" t="s" s="15">
        <v>34</v>
      </c>
      <c r="M190" t="s" s="13">
        <v>31</v>
      </c>
      <c r="N190" t="s" s="13">
        <v>35</v>
      </c>
      <c r="O190" t="s" s="13">
        <v>83</v>
      </c>
      <c r="P190" s="16">
        <f>G190</f>
        <v>45173</v>
      </c>
      <c r="Q190" s="16">
        <f>P190+364</f>
        <v>45537</v>
      </c>
      <c r="R190" s="16">
        <f>Q190+1</f>
        <v>45538</v>
      </c>
      <c r="S190" s="16">
        <f>R190+29</f>
        <v>45567</v>
      </c>
      <c r="T190" s="17">
        <v>30</v>
      </c>
      <c r="U190" s="18">
        <v>0</v>
      </c>
      <c r="V190" s="18">
        <f>T190-U190</f>
        <v>30</v>
      </c>
      <c r="W190" s="16">
        <f>R190+V190</f>
        <v>45568</v>
      </c>
      <c r="X190" s="16">
        <f>S190+1</f>
        <v>45568</v>
      </c>
      <c r="Y190" s="16">
        <f>X190+365</f>
        <v>45933</v>
      </c>
      <c r="Z190" t="s" s="19">
        <v>37</v>
      </c>
      <c r="AA190" t="s" s="15">
        <v>44</v>
      </c>
      <c r="AB190" t="s" s="15">
        <v>45</v>
      </c>
      <c r="AC190" t="s" s="15">
        <v>40</v>
      </c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</row>
    <row r="191" ht="13.55" customHeight="1">
      <c r="A191" t="s" s="13">
        <f t="shared" si="3012" ref="A191:B191">"03111"</f>
        <v>647</v>
      </c>
      <c r="B191" t="s" s="13">
        <f t="shared" si="3012"/>
        <v>647</v>
      </c>
      <c r="C191" t="s" s="13">
        <f t="shared" si="11"/>
        <v>27</v>
      </c>
      <c r="D191" t="s" s="13">
        <f>"LOMDRA SOMONGOMO"</f>
        <v>648</v>
      </c>
      <c r="E191" t="s" s="13">
        <f>"Guy Roger"</f>
        <v>649</v>
      </c>
      <c r="F191" s="14">
        <v>35488</v>
      </c>
      <c r="G191" s="14">
        <v>45170</v>
      </c>
      <c r="H191" t="s" s="13">
        <f t="shared" si="14"/>
        <v>30</v>
      </c>
      <c r="I191" t="s" s="13">
        <v>31</v>
      </c>
      <c r="J191" t="s" s="13">
        <f t="shared" si="15"/>
        <v>32</v>
      </c>
      <c r="K191" t="s" s="13">
        <f t="shared" si="16"/>
        <v>33</v>
      </c>
      <c r="L191" t="s" s="15">
        <v>34</v>
      </c>
      <c r="M191" t="s" s="13">
        <v>31</v>
      </c>
      <c r="N191" t="s" s="13">
        <v>35</v>
      </c>
      <c r="O191" t="s" s="13">
        <v>83</v>
      </c>
      <c r="P191" s="16">
        <f>G191</f>
        <v>45170</v>
      </c>
      <c r="Q191" s="16">
        <f>P191+364</f>
        <v>45534</v>
      </c>
      <c r="R191" s="16">
        <f>Q191+1</f>
        <v>45535</v>
      </c>
      <c r="S191" s="16">
        <f>R191+29</f>
        <v>45564</v>
      </c>
      <c r="T191" s="17">
        <v>30</v>
      </c>
      <c r="U191" s="18">
        <v>0</v>
      </c>
      <c r="V191" s="18">
        <f>T191-U191</f>
        <v>30</v>
      </c>
      <c r="W191" s="16">
        <f>R191+V191</f>
        <v>45565</v>
      </c>
      <c r="X191" s="16">
        <f>S191+1</f>
        <v>45565</v>
      </c>
      <c r="Y191" s="16">
        <f>X191+365</f>
        <v>45930</v>
      </c>
      <c r="Z191" t="s" s="19">
        <v>37</v>
      </c>
      <c r="AA191" t="s" s="15">
        <v>44</v>
      </c>
      <c r="AB191" t="s" s="15">
        <v>45</v>
      </c>
      <c r="AC191" t="s" s="15">
        <v>40</v>
      </c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</row>
    <row r="192" ht="13.55" customHeight="1">
      <c r="A192" t="s" s="13">
        <f t="shared" si="3028" ref="A192:B192">"03112"</f>
        <v>650</v>
      </c>
      <c r="B192" t="s" s="13">
        <f t="shared" si="3028"/>
        <v>650</v>
      </c>
      <c r="C192" t="s" s="13">
        <f t="shared" si="11"/>
        <v>27</v>
      </c>
      <c r="D192" t="s" s="13">
        <f>"MBARGA"</f>
        <v>651</v>
      </c>
      <c r="E192" t="s" s="13">
        <f>"François Patrick"</f>
        <v>652</v>
      </c>
      <c r="F192" s="14">
        <v>34524</v>
      </c>
      <c r="G192" s="14">
        <v>45173</v>
      </c>
      <c r="H192" t="s" s="13">
        <f t="shared" si="14"/>
        <v>30</v>
      </c>
      <c r="I192" t="s" s="13">
        <v>31</v>
      </c>
      <c r="J192" t="s" s="13">
        <f t="shared" si="15"/>
        <v>32</v>
      </c>
      <c r="K192" t="s" s="13">
        <f t="shared" si="16"/>
        <v>33</v>
      </c>
      <c r="L192" t="s" s="15">
        <v>34</v>
      </c>
      <c r="M192" t="s" s="13">
        <v>31</v>
      </c>
      <c r="N192" t="s" s="13">
        <v>35</v>
      </c>
      <c r="O192" t="s" s="13">
        <v>83</v>
      </c>
      <c r="P192" s="16">
        <f>G192</f>
        <v>45173</v>
      </c>
      <c r="Q192" s="16">
        <f>P192+364</f>
        <v>45537</v>
      </c>
      <c r="R192" s="16">
        <f>Q192+1</f>
        <v>45538</v>
      </c>
      <c r="S192" s="16">
        <f>R192+29</f>
        <v>45567</v>
      </c>
      <c r="T192" s="17">
        <v>30</v>
      </c>
      <c r="U192" s="18">
        <v>0</v>
      </c>
      <c r="V192" s="18">
        <f>T192-U192</f>
        <v>30</v>
      </c>
      <c r="W192" s="16">
        <f>R192+V192</f>
        <v>45568</v>
      </c>
      <c r="X192" s="16">
        <f>S192+1</f>
        <v>45568</v>
      </c>
      <c r="Y192" s="16">
        <f>X192+365</f>
        <v>45933</v>
      </c>
      <c r="Z192" s="22"/>
      <c r="AA192" t="s" s="15">
        <v>44</v>
      </c>
      <c r="AB192" t="s" s="15">
        <v>45</v>
      </c>
      <c r="AC192" t="s" s="15">
        <v>40</v>
      </c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</row>
    <row r="193" ht="13.55" customHeight="1">
      <c r="A193" t="s" s="13">
        <f t="shared" si="3044" ref="A193:B193">"03113"</f>
        <v>653</v>
      </c>
      <c r="B193" t="s" s="13">
        <f t="shared" si="3044"/>
        <v>653</v>
      </c>
      <c r="C193" t="s" s="13">
        <f t="shared" si="11"/>
        <v>27</v>
      </c>
      <c r="D193" t="s" s="13">
        <f>"MOKTO TATE"</f>
        <v>654</v>
      </c>
      <c r="E193" t="s" s="13">
        <f>"Ferdinand Junior"</f>
        <v>655</v>
      </c>
      <c r="F193" s="14">
        <v>35508</v>
      </c>
      <c r="G193" s="14">
        <v>45170</v>
      </c>
      <c r="H193" t="s" s="13">
        <f t="shared" si="14"/>
        <v>30</v>
      </c>
      <c r="I193" t="s" s="13">
        <v>31</v>
      </c>
      <c r="J193" t="s" s="13">
        <f t="shared" si="15"/>
        <v>32</v>
      </c>
      <c r="K193" t="s" s="13">
        <f t="shared" si="16"/>
        <v>33</v>
      </c>
      <c r="L193" t="s" s="15">
        <v>34</v>
      </c>
      <c r="M193" t="s" s="13">
        <v>31</v>
      </c>
      <c r="N193" t="s" s="13">
        <v>35</v>
      </c>
      <c r="O193" t="s" s="13">
        <v>83</v>
      </c>
      <c r="P193" s="16">
        <f>G193</f>
        <v>45170</v>
      </c>
      <c r="Q193" s="16">
        <f>P193+364</f>
        <v>45534</v>
      </c>
      <c r="R193" s="16">
        <f>Q193+1</f>
        <v>45535</v>
      </c>
      <c r="S193" s="16">
        <f>R193+29</f>
        <v>45564</v>
      </c>
      <c r="T193" s="17">
        <v>30</v>
      </c>
      <c r="U193" s="18">
        <v>0</v>
      </c>
      <c r="V193" s="18">
        <f>T193-U193</f>
        <v>30</v>
      </c>
      <c r="W193" s="16">
        <f>R193+V193</f>
        <v>45565</v>
      </c>
      <c r="X193" s="16">
        <f>S193+1</f>
        <v>45565</v>
      </c>
      <c r="Y193" s="16">
        <f>X193+365</f>
        <v>45930</v>
      </c>
      <c r="Z193" t="s" s="19">
        <v>37</v>
      </c>
      <c r="AA193" t="s" s="15">
        <v>44</v>
      </c>
      <c r="AB193" t="s" s="15">
        <v>45</v>
      </c>
      <c r="AC193" t="s" s="15">
        <v>40</v>
      </c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</row>
    <row r="194" ht="13.55" customHeight="1">
      <c r="A194" t="s" s="13">
        <f t="shared" si="3060" ref="A194:B194">"03114"</f>
        <v>656</v>
      </c>
      <c r="B194" t="s" s="13">
        <f t="shared" si="3060"/>
        <v>656</v>
      </c>
      <c r="C194" t="s" s="13">
        <f t="shared" si="11"/>
        <v>27</v>
      </c>
      <c r="D194" t="s" s="13">
        <f>"MVONDO BELINGA"</f>
        <v>657</v>
      </c>
      <c r="E194" t="s" s="13">
        <f t="shared" si="699"/>
        <v>195</v>
      </c>
      <c r="F194" s="14">
        <v>34775</v>
      </c>
      <c r="G194" s="14">
        <v>45173</v>
      </c>
      <c r="H194" t="s" s="13">
        <f t="shared" si="14"/>
        <v>30</v>
      </c>
      <c r="I194" t="s" s="13">
        <v>31</v>
      </c>
      <c r="J194" t="s" s="13">
        <f t="shared" si="15"/>
        <v>32</v>
      </c>
      <c r="K194" t="s" s="13">
        <f t="shared" si="16"/>
        <v>33</v>
      </c>
      <c r="L194" t="s" s="15">
        <v>34</v>
      </c>
      <c r="M194" t="s" s="13">
        <v>31</v>
      </c>
      <c r="N194" t="s" s="13">
        <v>35</v>
      </c>
      <c r="O194" t="s" s="13">
        <v>83</v>
      </c>
      <c r="P194" s="16">
        <f>G194</f>
        <v>45173</v>
      </c>
      <c r="Q194" s="16">
        <f>P194+364</f>
        <v>45537</v>
      </c>
      <c r="R194" s="16">
        <f>Q194+1</f>
        <v>45538</v>
      </c>
      <c r="S194" s="16">
        <f>R194+29</f>
        <v>45567</v>
      </c>
      <c r="T194" s="17">
        <v>30</v>
      </c>
      <c r="U194" s="18">
        <v>0</v>
      </c>
      <c r="V194" s="18">
        <f>T194-U194</f>
        <v>30</v>
      </c>
      <c r="W194" s="16">
        <f>R194+V194</f>
        <v>45568</v>
      </c>
      <c r="X194" s="16">
        <f>S194+1</f>
        <v>45568</v>
      </c>
      <c r="Y194" s="16">
        <f>X194+365</f>
        <v>45933</v>
      </c>
      <c r="Z194" t="s" s="19">
        <v>37</v>
      </c>
      <c r="AA194" t="s" s="15">
        <v>44</v>
      </c>
      <c r="AB194" t="s" s="15">
        <v>45</v>
      </c>
      <c r="AC194" t="s" s="15">
        <v>40</v>
      </c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</row>
    <row r="195" ht="13.55" customHeight="1">
      <c r="A195" t="s" s="13">
        <f t="shared" si="3076" ref="A195:B195">"03115"</f>
        <v>658</v>
      </c>
      <c r="B195" t="s" s="13">
        <f t="shared" si="3076"/>
        <v>658</v>
      </c>
      <c r="C195" t="s" s="13">
        <f t="shared" si="11"/>
        <v>27</v>
      </c>
      <c r="D195" t="s" s="13">
        <f>"NDJOM"</f>
        <v>659</v>
      </c>
      <c r="E195" t="s" s="13">
        <f>"Emmanuel Ulrich"</f>
        <v>660</v>
      </c>
      <c r="F195" s="14">
        <v>34991</v>
      </c>
      <c r="G195" s="14">
        <v>45173</v>
      </c>
      <c r="H195" t="s" s="13">
        <f t="shared" si="14"/>
        <v>30</v>
      </c>
      <c r="I195" t="s" s="13">
        <v>31</v>
      </c>
      <c r="J195" t="s" s="13">
        <f t="shared" si="15"/>
        <v>32</v>
      </c>
      <c r="K195" t="s" s="13">
        <f t="shared" si="16"/>
        <v>33</v>
      </c>
      <c r="L195" t="s" s="15">
        <v>34</v>
      </c>
      <c r="M195" t="s" s="13">
        <v>31</v>
      </c>
      <c r="N195" t="s" s="13">
        <v>35</v>
      </c>
      <c r="O195" t="s" s="13">
        <v>83</v>
      </c>
      <c r="P195" s="16">
        <f>G195</f>
        <v>45173</v>
      </c>
      <c r="Q195" s="16">
        <f>P195+364</f>
        <v>45537</v>
      </c>
      <c r="R195" s="16">
        <f>Q195+1</f>
        <v>45538</v>
      </c>
      <c r="S195" s="16">
        <f>R195+29</f>
        <v>45567</v>
      </c>
      <c r="T195" s="17">
        <v>30</v>
      </c>
      <c r="U195" s="18">
        <v>0</v>
      </c>
      <c r="V195" s="18">
        <f>T195-U195</f>
        <v>30</v>
      </c>
      <c r="W195" s="16">
        <f>R195+V195</f>
        <v>45568</v>
      </c>
      <c r="X195" s="16">
        <f>S195+1</f>
        <v>45568</v>
      </c>
      <c r="Y195" s="16">
        <f>X195+365</f>
        <v>45933</v>
      </c>
      <c r="Z195" t="s" s="19">
        <v>37</v>
      </c>
      <c r="AA195" t="s" s="15">
        <v>38</v>
      </c>
      <c r="AB195" t="s" s="15">
        <v>39</v>
      </c>
      <c r="AC195" t="s" s="15">
        <v>40</v>
      </c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</row>
    <row r="196" ht="13.55" customHeight="1">
      <c r="A196" t="s" s="13">
        <f t="shared" si="3092" ref="A196:B196">"03117"</f>
        <v>661</v>
      </c>
      <c r="B196" t="s" s="13">
        <f t="shared" si="3092"/>
        <v>661</v>
      </c>
      <c r="C196" t="s" s="13">
        <f t="shared" si="11"/>
        <v>27</v>
      </c>
      <c r="D196" t="s" s="13">
        <f>"ATANGANA MBARGA"</f>
        <v>662</v>
      </c>
      <c r="E196" t="s" s="13">
        <f>"Anatole Christian"</f>
        <v>663</v>
      </c>
      <c r="F196" s="14">
        <v>35867</v>
      </c>
      <c r="G196" s="14">
        <v>45173</v>
      </c>
      <c r="H196" t="s" s="13">
        <f t="shared" si="14"/>
        <v>30</v>
      </c>
      <c r="I196" t="s" s="13">
        <v>31</v>
      </c>
      <c r="J196" t="s" s="13">
        <f t="shared" si="15"/>
        <v>32</v>
      </c>
      <c r="K196" t="s" s="13">
        <f t="shared" si="16"/>
        <v>33</v>
      </c>
      <c r="L196" t="s" s="15">
        <v>34</v>
      </c>
      <c r="M196" t="s" s="13">
        <v>31</v>
      </c>
      <c r="N196" t="s" s="13">
        <v>35</v>
      </c>
      <c r="O196" t="s" s="13">
        <v>83</v>
      </c>
      <c r="P196" s="16">
        <f>G196</f>
        <v>45173</v>
      </c>
      <c r="Q196" s="16">
        <f>P196+364</f>
        <v>45537</v>
      </c>
      <c r="R196" s="16">
        <f>Q196+1</f>
        <v>45538</v>
      </c>
      <c r="S196" s="16">
        <f>R196+29</f>
        <v>45567</v>
      </c>
      <c r="T196" s="17">
        <v>30</v>
      </c>
      <c r="U196" s="18">
        <v>0</v>
      </c>
      <c r="V196" s="18">
        <f>T196-U196</f>
        <v>30</v>
      </c>
      <c r="W196" s="16">
        <f>R196+V196</f>
        <v>45568</v>
      </c>
      <c r="X196" s="16">
        <f>S196+1</f>
        <v>45568</v>
      </c>
      <c r="Y196" s="16">
        <f>X196+365</f>
        <v>45933</v>
      </c>
      <c r="Z196" t="s" s="19">
        <v>37</v>
      </c>
      <c r="AA196" t="s" s="15">
        <v>38</v>
      </c>
      <c r="AB196" t="s" s="15">
        <v>39</v>
      </c>
      <c r="AC196" t="s" s="15">
        <v>40</v>
      </c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</row>
    <row r="197" ht="13.55" customHeight="1">
      <c r="A197" t="s" s="13">
        <f t="shared" si="3108" ref="A197:B197">"03118"</f>
        <v>664</v>
      </c>
      <c r="B197" t="s" s="13">
        <f t="shared" si="3108"/>
        <v>664</v>
      </c>
      <c r="C197" t="s" s="13">
        <f t="shared" si="107"/>
        <v>63</v>
      </c>
      <c r="D197" t="s" s="13">
        <f>"ALENE ENGOLA"</f>
        <v>665</v>
      </c>
      <c r="E197" t="s" s="13">
        <f>"Clémentine Larissa"</f>
        <v>666</v>
      </c>
      <c r="F197" s="14">
        <v>34415</v>
      </c>
      <c r="G197" s="14">
        <v>45173</v>
      </c>
      <c r="H197" t="s" s="13">
        <f t="shared" si="14"/>
        <v>30</v>
      </c>
      <c r="I197" t="s" s="13">
        <v>31</v>
      </c>
      <c r="J197" t="s" s="13">
        <f t="shared" si="987"/>
        <v>267</v>
      </c>
      <c r="K197" t="s" s="13">
        <f t="shared" si="16"/>
        <v>33</v>
      </c>
      <c r="L197" t="s" s="15">
        <v>34</v>
      </c>
      <c r="M197" t="s" s="13">
        <v>31</v>
      </c>
      <c r="N197" t="s" s="13">
        <v>70</v>
      </c>
      <c r="O197" t="s" s="13">
        <v>36</v>
      </c>
      <c r="P197" s="16">
        <f>G197</f>
        <v>45173</v>
      </c>
      <c r="Q197" s="16">
        <f>P197+364</f>
        <v>45537</v>
      </c>
      <c r="R197" s="16">
        <f>Q197+1</f>
        <v>45538</v>
      </c>
      <c r="S197" s="16">
        <f>R197+29</f>
        <v>45567</v>
      </c>
      <c r="T197" s="17">
        <v>30</v>
      </c>
      <c r="U197" s="18">
        <v>0</v>
      </c>
      <c r="V197" s="18">
        <f>T197-U197</f>
        <v>30</v>
      </c>
      <c r="W197" s="16">
        <f>R197+V197</f>
        <v>45568</v>
      </c>
      <c r="X197" s="16">
        <f>S197+1</f>
        <v>45568</v>
      </c>
      <c r="Y197" s="16">
        <f>X197+365</f>
        <v>45933</v>
      </c>
      <c r="Z197" t="s" s="19">
        <v>37</v>
      </c>
      <c r="AA197" t="s" s="15">
        <v>44</v>
      </c>
      <c r="AB197" t="s" s="15">
        <v>45</v>
      </c>
      <c r="AC197" t="s" s="15">
        <v>40</v>
      </c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</row>
    <row r="198" ht="13.55" customHeight="1">
      <c r="A198" t="s" s="13">
        <f t="shared" si="3124" ref="A198:B198">"03119"</f>
        <v>667</v>
      </c>
      <c r="B198" t="s" s="13">
        <f t="shared" si="3124"/>
        <v>667</v>
      </c>
      <c r="C198" t="s" s="13">
        <f t="shared" si="11"/>
        <v>27</v>
      </c>
      <c r="D198" t="s" s="13">
        <f>"DONGMO"</f>
        <v>668</v>
      </c>
      <c r="E198" t="s" s="13">
        <f>"Cyr-Real"</f>
        <v>669</v>
      </c>
      <c r="F198" s="14">
        <v>35285</v>
      </c>
      <c r="G198" s="14">
        <v>45159</v>
      </c>
      <c r="H198" t="s" s="13">
        <f t="shared" si="14"/>
        <v>30</v>
      </c>
      <c r="I198" t="s" s="13">
        <v>74</v>
      </c>
      <c r="J198" t="s" s="13">
        <f t="shared" si="1083"/>
        <v>287</v>
      </c>
      <c r="K198" t="s" s="13">
        <f t="shared" si="1084"/>
        <v>288</v>
      </c>
      <c r="L198" s="23"/>
      <c r="M198" t="s" s="13">
        <v>74</v>
      </c>
      <c r="N198" t="s" s="13">
        <v>199</v>
      </c>
      <c r="O198" t="s" s="13">
        <v>36</v>
      </c>
      <c r="P198" s="16">
        <f>G198</f>
        <v>45159</v>
      </c>
      <c r="Q198" s="16">
        <f>P198+364</f>
        <v>45523</v>
      </c>
      <c r="R198" s="16">
        <f>Q198+1</f>
        <v>45524</v>
      </c>
      <c r="S198" s="16">
        <f>R198+29</f>
        <v>45553</v>
      </c>
      <c r="T198" s="17">
        <v>30</v>
      </c>
      <c r="U198" s="18">
        <v>0</v>
      </c>
      <c r="V198" s="18">
        <f>T198-U198</f>
        <v>30</v>
      </c>
      <c r="W198" s="16">
        <f>R198+V198</f>
        <v>45554</v>
      </c>
      <c r="X198" s="16">
        <f>S198+1</f>
        <v>45554</v>
      </c>
      <c r="Y198" s="16">
        <f>X198+365</f>
        <v>45919</v>
      </c>
      <c r="Z198" t="s" s="19">
        <v>37</v>
      </c>
      <c r="AA198" t="s" s="15">
        <v>44</v>
      </c>
      <c r="AB198" t="s" s="15">
        <v>45</v>
      </c>
      <c r="AC198" t="s" s="15">
        <v>40</v>
      </c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</row>
    <row r="199" ht="13.55" customHeight="1">
      <c r="A199" t="s" s="13">
        <f t="shared" si="3140" ref="A199:B199">"03120"</f>
        <v>670</v>
      </c>
      <c r="B199" t="s" s="13">
        <f t="shared" si="3140"/>
        <v>670</v>
      </c>
      <c r="C199" t="s" s="13">
        <f t="shared" si="11"/>
        <v>27</v>
      </c>
      <c r="D199" t="s" s="13">
        <f>"MANDENG"</f>
        <v>671</v>
      </c>
      <c r="E199" t="s" s="13">
        <f>"Job Armand"</f>
        <v>672</v>
      </c>
      <c r="F199" s="14">
        <v>34258</v>
      </c>
      <c r="G199" s="14">
        <v>45176</v>
      </c>
      <c r="H199" t="s" s="13">
        <f t="shared" si="14"/>
        <v>30</v>
      </c>
      <c r="I199" t="s" s="13">
        <v>31</v>
      </c>
      <c r="J199" t="s" s="13">
        <f t="shared" si="15"/>
        <v>32</v>
      </c>
      <c r="K199" t="s" s="13">
        <f t="shared" si="16"/>
        <v>33</v>
      </c>
      <c r="L199" t="s" s="15">
        <v>34</v>
      </c>
      <c r="M199" t="s" s="13">
        <v>31</v>
      </c>
      <c r="N199" t="s" s="13">
        <v>35</v>
      </c>
      <c r="O199" t="s" s="13">
        <v>83</v>
      </c>
      <c r="P199" s="16">
        <f>G199</f>
        <v>45176</v>
      </c>
      <c r="Q199" s="16">
        <f>P199+364</f>
        <v>45540</v>
      </c>
      <c r="R199" s="16">
        <f>Q199+1</f>
        <v>45541</v>
      </c>
      <c r="S199" s="16">
        <f>R199+29</f>
        <v>45570</v>
      </c>
      <c r="T199" s="17">
        <v>30</v>
      </c>
      <c r="U199" s="18">
        <v>0</v>
      </c>
      <c r="V199" s="18">
        <f>T199-U199</f>
        <v>30</v>
      </c>
      <c r="W199" s="16">
        <f>R199+V199</f>
        <v>45571</v>
      </c>
      <c r="X199" s="16">
        <f>S199+1</f>
        <v>45571</v>
      </c>
      <c r="Y199" s="16">
        <f>X199+365</f>
        <v>45936</v>
      </c>
      <c r="Z199" t="s" s="19">
        <v>37</v>
      </c>
      <c r="AA199" t="s" s="15">
        <v>44</v>
      </c>
      <c r="AB199" t="s" s="15">
        <v>45</v>
      </c>
      <c r="AC199" t="s" s="15">
        <v>40</v>
      </c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</row>
    <row r="200" ht="13.55" customHeight="1">
      <c r="A200" t="s" s="13">
        <f t="shared" si="3156" ref="A200:B200">"03122"</f>
        <v>673</v>
      </c>
      <c r="B200" t="s" s="13">
        <f t="shared" si="3156"/>
        <v>673</v>
      </c>
      <c r="C200" t="s" s="13">
        <f t="shared" si="11"/>
        <v>27</v>
      </c>
      <c r="D200" t="s" s="13">
        <f>"AMOUGOU AVIDI"</f>
        <v>674</v>
      </c>
      <c r="E200" t="s" s="13">
        <f>"Jordan Fourier"</f>
        <v>675</v>
      </c>
      <c r="F200" s="14">
        <v>35460</v>
      </c>
      <c r="G200" s="14">
        <v>45173</v>
      </c>
      <c r="H200" t="s" s="13">
        <f t="shared" si="14"/>
        <v>30</v>
      </c>
      <c r="I200" t="s" s="13">
        <v>31</v>
      </c>
      <c r="J200" t="s" s="13">
        <f t="shared" si="15"/>
        <v>32</v>
      </c>
      <c r="K200" t="s" s="13">
        <f t="shared" si="16"/>
        <v>33</v>
      </c>
      <c r="L200" t="s" s="15">
        <v>34</v>
      </c>
      <c r="M200" t="s" s="13">
        <v>31</v>
      </c>
      <c r="N200" t="s" s="13">
        <v>35</v>
      </c>
      <c r="O200" t="s" s="13">
        <v>83</v>
      </c>
      <c r="P200" s="16">
        <f>G200</f>
        <v>45173</v>
      </c>
      <c r="Q200" s="16">
        <f>P200+364</f>
        <v>45537</v>
      </c>
      <c r="R200" s="16">
        <f>Q200+1</f>
        <v>45538</v>
      </c>
      <c r="S200" s="16">
        <f>R200+29</f>
        <v>45567</v>
      </c>
      <c r="T200" s="17">
        <v>30</v>
      </c>
      <c r="U200" s="18">
        <v>0</v>
      </c>
      <c r="V200" s="18">
        <f>T200-U200</f>
        <v>30</v>
      </c>
      <c r="W200" s="16">
        <f>R200+V200</f>
        <v>45568</v>
      </c>
      <c r="X200" s="16">
        <f>S200+1</f>
        <v>45568</v>
      </c>
      <c r="Y200" s="16">
        <f>X200+365</f>
        <v>45933</v>
      </c>
      <c r="Z200" t="s" s="19">
        <v>37</v>
      </c>
      <c r="AA200" t="s" s="15">
        <v>44</v>
      </c>
      <c r="AB200" t="s" s="15">
        <v>45</v>
      </c>
      <c r="AC200" t="s" s="15">
        <v>40</v>
      </c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</row>
    <row r="201" ht="13.55" customHeight="1">
      <c r="A201" t="s" s="13">
        <f t="shared" si="3172" ref="A201:B201">"03123"</f>
        <v>676</v>
      </c>
      <c r="B201" t="s" s="13">
        <f t="shared" si="3172"/>
        <v>676</v>
      </c>
      <c r="C201" t="s" s="13">
        <f t="shared" si="11"/>
        <v>27</v>
      </c>
      <c r="D201" t="s" s="13">
        <f>"MBENG ENGAMBA"</f>
        <v>677</v>
      </c>
      <c r="E201" t="s" s="13">
        <f>"Cédric Stéphane"</f>
        <v>678</v>
      </c>
      <c r="F201" s="14">
        <v>34031</v>
      </c>
      <c r="G201" s="14">
        <v>45173</v>
      </c>
      <c r="H201" t="s" s="13">
        <f t="shared" si="14"/>
        <v>30</v>
      </c>
      <c r="I201" t="s" s="13">
        <v>31</v>
      </c>
      <c r="J201" t="s" s="13">
        <f t="shared" si="15"/>
        <v>32</v>
      </c>
      <c r="K201" t="s" s="13">
        <f t="shared" si="16"/>
        <v>33</v>
      </c>
      <c r="L201" t="s" s="15">
        <v>34</v>
      </c>
      <c r="M201" t="s" s="13">
        <v>31</v>
      </c>
      <c r="N201" t="s" s="13">
        <v>35</v>
      </c>
      <c r="O201" t="s" s="13">
        <v>83</v>
      </c>
      <c r="P201" s="16">
        <f>G201</f>
        <v>45173</v>
      </c>
      <c r="Q201" s="16">
        <f>P201+364</f>
        <v>45537</v>
      </c>
      <c r="R201" s="16">
        <f>Q201+1</f>
        <v>45538</v>
      </c>
      <c r="S201" s="16">
        <f>R201+29</f>
        <v>45567</v>
      </c>
      <c r="T201" s="17">
        <v>30</v>
      </c>
      <c r="U201" s="18">
        <v>0</v>
      </c>
      <c r="V201" s="18">
        <f>T201-U201</f>
        <v>30</v>
      </c>
      <c r="W201" s="16">
        <f>R201+V201</f>
        <v>45568</v>
      </c>
      <c r="X201" s="16">
        <f>S201+1</f>
        <v>45568</v>
      </c>
      <c r="Y201" s="16">
        <f>X201+365</f>
        <v>45933</v>
      </c>
      <c r="Z201" t="s" s="19">
        <v>37</v>
      </c>
      <c r="AA201" t="s" s="15">
        <v>44</v>
      </c>
      <c r="AB201" t="s" s="15">
        <v>45</v>
      </c>
      <c r="AC201" t="s" s="15">
        <v>40</v>
      </c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</row>
    <row r="202" ht="13.55" customHeight="1">
      <c r="A202" t="s" s="13">
        <f t="shared" si="3188" ref="A202:B202">"03124"</f>
        <v>679</v>
      </c>
      <c r="B202" t="s" s="13">
        <f t="shared" si="3188"/>
        <v>679</v>
      </c>
      <c r="C202" t="s" s="13">
        <f t="shared" si="107"/>
        <v>63</v>
      </c>
      <c r="D202" t="s" s="13">
        <f>"KENNE NGOUNE"</f>
        <v>680</v>
      </c>
      <c r="E202" t="s" s="13">
        <f>"Sorelle"</f>
        <v>681</v>
      </c>
      <c r="F202" s="14">
        <v>32874</v>
      </c>
      <c r="G202" s="14">
        <v>45181</v>
      </c>
      <c r="H202" t="s" s="13">
        <f t="shared" si="14"/>
        <v>30</v>
      </c>
      <c r="I202" t="s" s="13">
        <v>74</v>
      </c>
      <c r="J202" t="s" s="13">
        <f t="shared" si="1083"/>
        <v>287</v>
      </c>
      <c r="K202" t="s" s="13">
        <f t="shared" si="1084"/>
        <v>288</v>
      </c>
      <c r="L202" s="23"/>
      <c r="M202" t="s" s="13">
        <v>74</v>
      </c>
      <c r="N202" t="s" s="13">
        <v>199</v>
      </c>
      <c r="O202" t="s" s="13">
        <v>36</v>
      </c>
      <c r="P202" s="16">
        <f>G202</f>
        <v>45181</v>
      </c>
      <c r="Q202" s="16">
        <f>P202+364</f>
        <v>45545</v>
      </c>
      <c r="R202" s="16">
        <f>Q202+1</f>
        <v>45546</v>
      </c>
      <c r="S202" s="16">
        <f>R202+29</f>
        <v>45575</v>
      </c>
      <c r="T202" s="17">
        <v>30</v>
      </c>
      <c r="U202" s="18">
        <v>0</v>
      </c>
      <c r="V202" s="18">
        <f>T202-U202</f>
        <v>30</v>
      </c>
      <c r="W202" s="16">
        <f>R202+V202</f>
        <v>45576</v>
      </c>
      <c r="X202" s="16">
        <f>S202+1</f>
        <v>45576</v>
      </c>
      <c r="Y202" s="16">
        <f>X202+365</f>
        <v>45941</v>
      </c>
      <c r="Z202" t="s" s="19">
        <v>37</v>
      </c>
      <c r="AA202" t="s" s="15">
        <v>38</v>
      </c>
      <c r="AB202" t="s" s="15">
        <v>39</v>
      </c>
      <c r="AC202" s="23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